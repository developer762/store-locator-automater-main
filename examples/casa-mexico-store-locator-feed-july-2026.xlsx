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ore Locator Feed" sheetId="1" state="visible" r:id="rId3"/>
  </sheets>
  <definedNames>
    <definedName function="false" hidden="true" localSheetId="0" name="_xlnm._FilterDatabase" vbProcedure="false">'Store Locator Feed'!$A$1:$Y$551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Reported account name with the trailing city tag and the distributor de-duplication suffix removed. This is the label to publish on the map.</t>
        </r>
      </text>
    </comment>
    <comment ref="B1" authorId="0">
      <text>
        <r>
          <rPr>
            <sz val="10"/>
            <rFont val="Arial"/>
            <family val="2"/>
          </rPr>
          <t xml:space="preserve">Every raw name that rolled into this row, pipe separated. Kept so a figure can be traced back to the source workbook.</t>
        </r>
      </text>
    </comment>
    <comment ref="C1" authorId="0">
      <text>
        <r>
          <rPr>
            <sz val="10"/>
            <rFont val="Arial"/>
            <family val="2"/>
          </rPr>
          <t xml:space="preserve">Only the Park Street exports and the Chattanooga invoice sheet carry a street address. Mexcor and the Wisconsin supplier portal do not, so this is blank for Texas, South Carolina, Florida and Wisconsin.</t>
        </r>
      </text>
    </comment>
    <comment ref="D1" authorId="0">
      <text>
        <r>
          <rPr>
            <sz val="10"/>
            <rFont val="Arial"/>
            <family val="2"/>
          </rPr>
          <t xml:space="preserve">Mexcor reports city in upper case. Title cased here for display.</t>
        </r>
      </text>
    </comment>
    <comment ref="G1" authorId="0">
      <text>
        <r>
          <rPr>
            <sz val="10"/>
            <rFont val="Arial"/>
            <family val="2"/>
          </rPr>
          <t xml:space="preserve">Derived from keywords in the account name, since no depletion export carries a premise flag. Where an address lookup was run, the category Google returned was used instead and Match Confidence records that. Verify every remaining Needs review row before it drives the Retail versus Bar and Restaurant filter.</t>
        </r>
      </text>
    </comment>
    <comment ref="J1" authorId="0">
      <text>
        <r>
          <rPr>
            <sz val="10"/>
            <rFont val="Arial"/>
            <family val="2"/>
          </rPr>
          <t xml:space="preserve">Case equivalents depleted between 1 July and 31 July 2026, summed across all bottlings. Negative values are July credits or returns.</t>
        </r>
      </text>
    </comment>
    <comment ref="L1" authorId="0">
      <text>
        <r>
          <rPr>
            <sz val="10"/>
            <rFont val="Arial"/>
            <family val="2"/>
          </rPr>
          <t xml:space="preserve">Formula. Counts the comma separated entries in Bottlings Stocked.</t>
        </r>
      </text>
    </comment>
    <comment ref="N1" authorId="0">
      <text>
        <r>
          <rPr>
            <sz val="10"/>
            <rFont val="Arial"/>
            <family val="2"/>
          </rPr>
          <t xml:space="preserve">Formula. Concatenates name and address for a Google Places or geocoding lookup. Rows without a street address will need the city and state to disambiguate.</t>
        </r>
      </text>
    </comment>
    <comment ref="O1" authorId="0">
      <text>
        <r>
          <rPr>
            <sz val="10"/>
            <rFont val="Arial"/>
            <family val="2"/>
          </rPr>
          <t xml:space="preserve">Formula. Ready means a full address, at least half a case and a resolved premise type. Nothing here confirms the account still stocks the product, so recurrence across June and August should be checked before publishing.</t>
        </r>
      </text>
    </comment>
    <comment ref="P1" authorId="0">
      <text>
        <r>
          <rPr>
            <sz val="10"/>
            <rFont val="Arial"/>
            <family val="2"/>
          </rPr>
          <t xml:space="preserve">Populated for accounting lines, sample accounts and rows that netted to zero or a credit. Blank means the row is a real outlet.</t>
        </r>
      </text>
    </comment>
    <comment ref="R1" authorId="0">
      <text>
        <r>
          <rPr>
            <sz val="10"/>
            <rFont val="Arial"/>
            <family val="2"/>
          </rPr>
          <t xml:space="preserve">Street address found by looking the account up on Google Places in August 2026. Filled only where the reported file carried no address. Treat it as a candidate, not a confirmed fact, and read Match Confidence alongside it.</t>
        </r>
      </text>
    </comment>
    <comment ref="S1" authorId="0">
      <text>
        <r>
          <rPr>
            <sz val="10"/>
            <rFont val="Arial"/>
            <family val="2"/>
          </rPr>
          <t xml:space="preserve">The business name Google returned. Where this differs from the reported account name the match is weaker and Match Confidence says so.</t>
        </r>
      </text>
    </comment>
    <comment ref="V1" authorId="0">
      <text>
        <r>
          <rPr>
            <sz val="10"/>
            <rFont val="Arial"/>
            <family val="2"/>
          </rPr>
          <t xml:space="preserve">The stable identifier for the location. Store this rather than the address text, then refresh name, address and hours from it on a schedule.</t>
        </r>
      </text>
    </comment>
    <comment ref="W1" authorId="0">
      <text>
        <r>
          <rPr>
            <sz val="10"/>
            <rFont val="Arial"/>
            <family val="2"/>
          </rPr>
          <t xml:space="preserve">High means name and city both matched. Medium means a partial name match or an unverified branch number. Low means the match is doubtful and someone should check it before it goes on the map.</t>
        </r>
      </text>
    </comment>
    <comment ref="X1" authorId="0">
      <text>
        <r>
          <rPr>
            <sz val="10"/>
            <rFont val="Arial"/>
            <family val="2"/>
          </rPr>
          <t xml:space="preserve">How exact the Final Address is. Reported means a street address from the distributor file. Estimated means a street address from a Google Places lookup, so read Match Confidence with it. City means only the city and state are known, so the pin will land on the city rather than the door. Market means not even a city was reported and only the state is known.</t>
        </r>
      </text>
    </comment>
    <comment ref="Y1" authorId="0">
      <text>
        <r>
          <rPr>
            <sz val="10"/>
            <rFont val="Arial"/>
            <family val="2"/>
          </rPr>
          <t xml:space="preserve">The single address field to read in downstream tools. It never comes back blank. It takes the reported street address first, then the estimated one, then city and state, then the market name. Final Address Precision says which of the four it used, so a tool can decide whether to drop a map pin or only list the store.</t>
        </r>
      </text>
    </comment>
  </commentList>
</comments>
</file>

<file path=xl/sharedStrings.xml><?xml version="1.0" encoding="utf-8"?>
<sst xmlns="http://schemas.openxmlformats.org/spreadsheetml/2006/main" count="6767" uniqueCount="1716">
  <si>
    <t xml:space="preserve">Locator Name</t>
  </si>
  <si>
    <t xml:space="preserve">Reported Account Name</t>
  </si>
  <si>
    <t xml:space="preserve">Street Address</t>
  </si>
  <si>
    <t xml:space="preserve">City</t>
  </si>
  <si>
    <t xml:space="preserve">State</t>
  </si>
  <si>
    <t xml:space="preserve">Postal Code</t>
  </si>
  <si>
    <t xml:space="preserve">Premise Type</t>
  </si>
  <si>
    <t xml:space="preserve">Distributor</t>
  </si>
  <si>
    <t xml:space="preserve">Market</t>
  </si>
  <si>
    <t xml:space="preserve">Cases (Jul 2026)</t>
  </si>
  <si>
    <t xml:space="preserve">Bottlings Stocked</t>
  </si>
  <si>
    <t xml:space="preserve">Bottling Count</t>
  </si>
  <si>
    <t xml:space="preserve">Address Completeness</t>
  </si>
  <si>
    <t xml:space="preserve">Geocode Query</t>
  </si>
  <si>
    <t xml:space="preserve">Publish Status</t>
  </si>
  <si>
    <t xml:space="preserve">Exclude Reason</t>
  </si>
  <si>
    <t xml:space="preserve">Source File</t>
  </si>
  <si>
    <t xml:space="preserve">Estimated Address</t>
  </si>
  <si>
    <t xml:space="preserve">Matched Business Name</t>
  </si>
  <si>
    <t xml:space="preserve">Latitude</t>
  </si>
  <si>
    <t xml:space="preserve">Longitude</t>
  </si>
  <si>
    <t xml:space="preserve">Google Place ID</t>
  </si>
  <si>
    <t xml:space="preserve">Match Confidence</t>
  </si>
  <si>
    <t xml:space="preserve">Final Address Precision</t>
  </si>
  <si>
    <t xml:space="preserve">Final Address</t>
  </si>
  <si>
    <t xml:space="preserve">Southern Sips Liquor</t>
  </si>
  <si>
    <t xml:space="preserve">Southern Sips Liquor - Kathleen</t>
  </si>
  <si>
    <t xml:space="preserve">1129 SR 96</t>
  </si>
  <si>
    <t xml:space="preserve">Kathleen</t>
  </si>
  <si>
    <t xml:space="preserve">GA</t>
  </si>
  <si>
    <t xml:space="preserve">31047</t>
  </si>
  <si>
    <t xml:space="preserve">Retail</t>
  </si>
  <si>
    <t xml:space="preserve">Eagle Rock Distributing Company: Norcross, GA</t>
  </si>
  <si>
    <t xml:space="preserve">Georgia</t>
  </si>
  <si>
    <t xml:space="preserve">Blanco, Reposado, Anejo</t>
  </si>
  <si>
    <t xml:space="preserve">Full address</t>
  </si>
  <si>
    <t xml:space="preserve">Copy_of_Depletions_GA_July_2026.xlsx</t>
  </si>
  <si>
    <t xml:space="preserve">Reported</t>
  </si>
  <si>
    <t xml:space="preserve">Goody Goody #16</t>
  </si>
  <si>
    <t xml:space="preserve">Little Elm</t>
  </si>
  <si>
    <t xml:space="preserve">TX</t>
  </si>
  <si>
    <t xml:space="preserve">Mexcor Texas - DFW</t>
  </si>
  <si>
    <t xml:space="preserve">Texas</t>
  </si>
  <si>
    <t xml:space="preserve">Blanco, Reposado, Anejo, High Proof Reposado</t>
  </si>
  <si>
    <t xml:space="preserve">City only</t>
  </si>
  <si>
    <t xml:space="preserve">Copy_of_Depletions_TX_July_2026.xlsx</t>
  </si>
  <si>
    <t xml:space="preserve">103 FM 423, Little Elm, TX 75068</t>
  </si>
  <si>
    <t xml:space="preserve">Goody Goody Liquor</t>
  </si>
  <si>
    <t xml:space="preserve">ChIJn2FS6Es3TIYRzMqR8D1acRs</t>
  </si>
  <si>
    <t xml:space="preserve">Medium - store number unverified | premise confirmed as liquor store by Google category</t>
  </si>
  <si>
    <t xml:space="preserve">Estimated</t>
  </si>
  <si>
    <t xml:space="preserve">Goody Goody #12</t>
  </si>
  <si>
    <t xml:space="preserve">Highland Village</t>
  </si>
  <si>
    <t xml:space="preserve">1950 FM 407, Highland Village, TX 75077</t>
  </si>
  <si>
    <t xml:space="preserve">ChIJi0hm12IyTIYRxv2V7-eMt-8</t>
  </si>
  <si>
    <t xml:space="preserve">Nile Liquor Store</t>
  </si>
  <si>
    <t xml:space="preserve">Nile Liquor Store - Aurora</t>
  </si>
  <si>
    <t xml:space="preserve">1390 Peoria St Unit A</t>
  </si>
  <si>
    <t xml:space="preserve">Aurora</t>
  </si>
  <si>
    <t xml:space="preserve">CO</t>
  </si>
  <si>
    <t xml:space="preserve">80011</t>
  </si>
  <si>
    <t xml:space="preserve">Southern Glazers Beverage Company of: Loveland, CO</t>
  </si>
  <si>
    <t xml:space="preserve">Colorado</t>
  </si>
  <si>
    <t xml:space="preserve">Blanco, Reposado</t>
  </si>
  <si>
    <t xml:space="preserve">Copy_of_Depletions_CO_July_2026.xlsx</t>
  </si>
  <si>
    <t xml:space="preserve">AL G'S Liquor Store</t>
  </si>
  <si>
    <t xml:space="preserve">AL G'S Liquor Store - Marietta</t>
  </si>
  <si>
    <t xml:space="preserve">3646 Austell Rd</t>
  </si>
  <si>
    <t xml:space="preserve">Marietta</t>
  </si>
  <si>
    <t xml:space="preserve">30008</t>
  </si>
  <si>
    <t xml:space="preserve">Blanco, Reposado, Anejo, Cristalino</t>
  </si>
  <si>
    <t xml:space="preserve">Augusta Liquors Inc</t>
  </si>
  <si>
    <t xml:space="preserve">Augusta Liquors Inc - Augusta</t>
  </si>
  <si>
    <t xml:space="preserve">823 CABELA DRIVE</t>
  </si>
  <si>
    <t xml:space="preserve">Augusta</t>
  </si>
  <si>
    <t xml:space="preserve">30909</t>
  </si>
  <si>
    <t xml:space="preserve">Blanco</t>
  </si>
  <si>
    <t xml:space="preserve">Beverage Outlet</t>
  </si>
  <si>
    <t xml:space="preserve">Beverage Outlet - Martinez</t>
  </si>
  <si>
    <t xml:space="preserve">247 BOBBY JONES EXPY</t>
  </si>
  <si>
    <t xml:space="preserve">Martinez</t>
  </si>
  <si>
    <t xml:space="preserve">30907</t>
  </si>
  <si>
    <t xml:space="preserve">Dacula Cork and Bottle</t>
  </si>
  <si>
    <t xml:space="preserve">Dacula Cork and Bottle - Dacula</t>
  </si>
  <si>
    <t xml:space="preserve">2200 Hurricane Shoal</t>
  </si>
  <si>
    <t xml:space="preserve">Dacula</t>
  </si>
  <si>
    <t xml:space="preserve">30019</t>
  </si>
  <si>
    <t xml:space="preserve">Blanco, Reposado, Anejo, Cristalino, High Proof Reposado</t>
  </si>
  <si>
    <t xml:space="preserve">J&amp;J Package Store</t>
  </si>
  <si>
    <t xml:space="preserve">J&amp;J Package Store - Decatur</t>
  </si>
  <si>
    <t xml:space="preserve">3568 Wesley Chapel Rd</t>
  </si>
  <si>
    <t xml:space="preserve">Decatur</t>
  </si>
  <si>
    <t xml:space="preserve">30034</t>
  </si>
  <si>
    <t xml:space="preserve">LIQUOR LOFT</t>
  </si>
  <si>
    <t xml:space="preserve">LIQUOR LOFT - Valdosta</t>
  </si>
  <si>
    <t xml:space="preserve">2541 BEMISS RD</t>
  </si>
  <si>
    <t xml:space="preserve">Valdosta</t>
  </si>
  <si>
    <t xml:space="preserve">31602</t>
  </si>
  <si>
    <t xml:space="preserve">Mike's Package Store</t>
  </si>
  <si>
    <t xml:space="preserve">Mike's Package Store - Douglasville</t>
  </si>
  <si>
    <t xml:space="preserve">2164 HIGHWAY 92</t>
  </si>
  <si>
    <t xml:space="preserve">Douglasville</t>
  </si>
  <si>
    <t xml:space="preserve">30135</t>
  </si>
  <si>
    <t xml:space="preserve">Sprayberry Bottle Shop #3</t>
  </si>
  <si>
    <t xml:space="preserve">Sprayberry Bottle Shop #3 - Marietta</t>
  </si>
  <si>
    <t xml:space="preserve">2692 Sandy Plains Rd</t>
  </si>
  <si>
    <t xml:space="preserve">30066</t>
  </si>
  <si>
    <t xml:space="preserve">Strong water package store</t>
  </si>
  <si>
    <t xml:space="preserve">Strong water package store - Fayetteville</t>
  </si>
  <si>
    <t xml:space="preserve">605 N Jeff Davis DR</t>
  </si>
  <si>
    <t xml:space="preserve">Fayetteville</t>
  </si>
  <si>
    <t xml:space="preserve">30214</t>
  </si>
  <si>
    <t xml:space="preserve">Star Package Store</t>
  </si>
  <si>
    <t xml:space="preserve">Star Package Store - College Park</t>
  </si>
  <si>
    <t xml:space="preserve">5065 Old National Hwy</t>
  </si>
  <si>
    <t xml:space="preserve">College Park</t>
  </si>
  <si>
    <t xml:space="preserve">30349</t>
  </si>
  <si>
    <t xml:space="preserve">Tower Beer, Wine &amp; Spirits #520</t>
  </si>
  <si>
    <t xml:space="preserve">Tower Beer, Wine &amp; Spirits #520 - Atlanta</t>
  </si>
  <si>
    <t xml:space="preserve">2161 Piedmont Rd NE</t>
  </si>
  <si>
    <t xml:space="preserve">Atlanta</t>
  </si>
  <si>
    <t xml:space="preserve">30324</t>
  </si>
  <si>
    <t xml:space="preserve">Westside Package Store</t>
  </si>
  <si>
    <t xml:space="preserve">Westside Package Store - Atlanta</t>
  </si>
  <si>
    <t xml:space="preserve">3285 M L KING JR DR</t>
  </si>
  <si>
    <t xml:space="preserve">30311</t>
  </si>
  <si>
    <t xml:space="preserve">Mega Package Store</t>
  </si>
  <si>
    <t xml:space="preserve">Mega Package Store - Suwanee</t>
  </si>
  <si>
    <t xml:space="preserve">2820 Lawrenceville-Suwanee Rd</t>
  </si>
  <si>
    <t xml:space="preserve">Suwanee</t>
  </si>
  <si>
    <t xml:space="preserve">30024</t>
  </si>
  <si>
    <t xml:space="preserve">Goody Goody #04</t>
  </si>
  <si>
    <t xml:space="preserve">Rowlett</t>
  </si>
  <si>
    <t xml:space="preserve">3500 Lakeview Pkwy #100, Rowlett, TX 75088</t>
  </si>
  <si>
    <t xml:space="preserve">ChIJZWzBpQKoToYR7tKvxIY0oUc</t>
  </si>
  <si>
    <t xml:space="preserve">Mac's Beer &amp; Wine/Midtown Liquor</t>
  </si>
  <si>
    <t xml:space="preserve">Mac's Beer &amp; Wine/Midtown Liquor - Atlanta</t>
  </si>
  <si>
    <t xml:space="preserve">21 Peachtree Pl NE</t>
  </si>
  <si>
    <t xml:space="preserve">30309</t>
  </si>
  <si>
    <t xml:space="preserve">Golden Park</t>
  </si>
  <si>
    <t xml:space="preserve">Golden Park - Columbus</t>
  </si>
  <si>
    <t xml:space="preserve">100 4th St</t>
  </si>
  <si>
    <t xml:space="preserve">Columbus</t>
  </si>
  <si>
    <t xml:space="preserve">31901</t>
  </si>
  <si>
    <t xml:space="preserve">Needs review</t>
  </si>
  <si>
    <t xml:space="preserve">Crossroads ABC</t>
  </si>
  <si>
    <t xml:space="preserve">Lancaster</t>
  </si>
  <si>
    <t xml:space="preserve">SC</t>
  </si>
  <si>
    <t xml:space="preserve">Mexcor South Carolina</t>
  </si>
  <si>
    <t xml:space="preserve">South Carolina</t>
  </si>
  <si>
    <t xml:space="preserve">Copy_of_Depletions_SC_July_2026.xlsx</t>
  </si>
  <si>
    <t xml:space="preserve">1739 Springdale Rd, Lancaster, SC 29720</t>
  </si>
  <si>
    <t xml:space="preserve">CROSSROADS ABC</t>
  </si>
  <si>
    <t xml:space="preserve">ChIJHf_zKh7YVYgR8dM1akFX2HI</t>
  </si>
  <si>
    <t xml:space="preserve">High - name and city match</t>
  </si>
  <si>
    <t xml:space="preserve">Goody Goody #44</t>
  </si>
  <si>
    <t xml:space="preserve">New Caney</t>
  </si>
  <si>
    <t xml:space="preserve">Mexcor Texas - Houston</t>
  </si>
  <si>
    <t xml:space="preserve">22296 Market Pl Dr Ste 200, New Caney, TX 77357</t>
  </si>
  <si>
    <t xml:space="preserve">ChIJ5Q2AxpNNR4YRo6GaHaAwbB0</t>
  </si>
  <si>
    <t xml:space="preserve">Greens Bev Myrtle</t>
  </si>
  <si>
    <t xml:space="preserve">Myrtle Beach</t>
  </si>
  <si>
    <t xml:space="preserve">2850 N Kings Hwy, Myrtle Beach, SC 29577</t>
  </si>
  <si>
    <t xml:space="preserve">Green's Beverages - Myrtle Beach</t>
  </si>
  <si>
    <t xml:space="preserve">ChIJt8J-YexoAIkRnxmDJCJgk30</t>
  </si>
  <si>
    <t xml:space="preserve">High - name and city match | premise confirmed as liquor store by Google category</t>
  </si>
  <si>
    <t xml:space="preserve">Goody Goody #26</t>
  </si>
  <si>
    <t xml:space="preserve">Colleyville</t>
  </si>
  <si>
    <t xml:space="preserve">4701 Colleyville Blvd Suite 300, Colleyville, TX 76034</t>
  </si>
  <si>
    <t xml:space="preserve">ChIJZSizN4vVTYYRQenG0mHtO1k</t>
  </si>
  <si>
    <t xml:space="preserve">Liquor Depot (KMY) Glenn Heights</t>
  </si>
  <si>
    <t xml:space="preserve">Glenn Heights</t>
  </si>
  <si>
    <t xml:space="preserve">1308 E Bear Creek Rd #130, Glenn Heights, TX 75154</t>
  </si>
  <si>
    <t xml:space="preserve">Liquor Depot Glenn Heights</t>
  </si>
  <si>
    <t xml:space="preserve">ChIJvWRS5JmUToYRpRB7mfxbA-s</t>
  </si>
  <si>
    <t xml:space="preserve">Kings Liquor #436</t>
  </si>
  <si>
    <t xml:space="preserve">Kings Liquor #436 - Kennesaw</t>
  </si>
  <si>
    <t xml:space="preserve">2699 N COBB PARKWAY</t>
  </si>
  <si>
    <t xml:space="preserve">Kennesaw</t>
  </si>
  <si>
    <t xml:space="preserve">30152</t>
  </si>
  <si>
    <t xml:space="preserve">Kings Liquor</t>
  </si>
  <si>
    <t xml:space="preserve">Kissimmee</t>
  </si>
  <si>
    <t xml:space="preserve">FL</t>
  </si>
  <si>
    <t xml:space="preserve">Mexcor Florida</t>
  </si>
  <si>
    <t xml:space="preserve">Florida</t>
  </si>
  <si>
    <t xml:space="preserve">Copy_of_Depletions_FL_July_2026.xlsx</t>
  </si>
  <si>
    <t xml:space="preserve">7562 US-192, Kissimmee, FL 34747</t>
  </si>
  <si>
    <t xml:space="preserve">ChIJNaPoQbp-3YgRLNBW6Wd8wvI</t>
  </si>
  <si>
    <t xml:space="preserve">1941 Package</t>
  </si>
  <si>
    <t xml:space="preserve">1941 Package - Griffin</t>
  </si>
  <si>
    <t xml:space="preserve">2004 N Expressway</t>
  </si>
  <si>
    <t xml:space="preserve">Griffin</t>
  </si>
  <si>
    <t xml:space="preserve">30223</t>
  </si>
  <si>
    <t xml:space="preserve">Ace's Package Store</t>
  </si>
  <si>
    <t xml:space="preserve">Ace's Package Store - Atlanta</t>
  </si>
  <si>
    <t xml:space="preserve">2558 Gresham Rd S E</t>
  </si>
  <si>
    <t xml:space="preserve">30316</t>
  </si>
  <si>
    <t xml:space="preserve">Beverage Vault</t>
  </si>
  <si>
    <t xml:space="preserve">Beverage Vault - Newnan</t>
  </si>
  <si>
    <t xml:space="preserve">109 BULLSBORO DR.</t>
  </si>
  <si>
    <t xml:space="preserve">Newnan</t>
  </si>
  <si>
    <t xml:space="preserve">30263</t>
  </si>
  <si>
    <t xml:space="preserve">Beyond Water Wine &amp; Spirits</t>
  </si>
  <si>
    <t xml:space="preserve">Beyond Water Wine &amp; Spirits - Lithia Springs</t>
  </si>
  <si>
    <t xml:space="preserve">991 THORNTON ROAD</t>
  </si>
  <si>
    <t xml:space="preserve">Lithia Springs</t>
  </si>
  <si>
    <t xml:space="preserve">30122</t>
  </si>
  <si>
    <t xml:space="preserve">Big Man Package Store</t>
  </si>
  <si>
    <t xml:space="preserve">Big Man Package Store - Decatur</t>
  </si>
  <si>
    <t xml:space="preserve">2594 Candler Rd</t>
  </si>
  <si>
    <t xml:space="preserve">CLS Package Store</t>
  </si>
  <si>
    <t xml:space="preserve">CLS Package Store - Sandersville</t>
  </si>
  <si>
    <t xml:space="preserve">219 North Smith Street</t>
  </si>
  <si>
    <t xml:space="preserve">Sandersville</t>
  </si>
  <si>
    <t xml:space="preserve">31082</t>
  </si>
  <si>
    <t xml:space="preserve">Drip &amp; Drop Liquor Store</t>
  </si>
  <si>
    <t xml:space="preserve">Drip &amp; Drop Liquor Store - Woodstock</t>
  </si>
  <si>
    <t xml:space="preserve">11289 Hwy 92</t>
  </si>
  <si>
    <t xml:space="preserve">Woodstock</t>
  </si>
  <si>
    <t xml:space="preserve">30188</t>
  </si>
  <si>
    <t xml:space="preserve">Blanco, Cristalino</t>
  </si>
  <si>
    <t xml:space="preserve">HAL'S PACKAGE STORE</t>
  </si>
  <si>
    <t xml:space="preserve">HAL'S PACKAGE STORE - Decatur</t>
  </si>
  <si>
    <t xml:space="preserve">1223 Columbia Dr</t>
  </si>
  <si>
    <t xml:space="preserve">30032</t>
  </si>
  <si>
    <t xml:space="preserve">J&amp;J Liquor</t>
  </si>
  <si>
    <t xml:space="preserve">J&amp;J Liquor - Stockbridge</t>
  </si>
  <si>
    <t xml:space="preserve">1590 Hudson Bridge Rd</t>
  </si>
  <si>
    <t xml:space="preserve">Stockbridge</t>
  </si>
  <si>
    <t xml:space="preserve">30281</t>
  </si>
  <si>
    <t xml:space="preserve">Kilroy's Package Store</t>
  </si>
  <si>
    <t xml:space="preserve">Kilroy's Package Store - College Park</t>
  </si>
  <si>
    <t xml:space="preserve">4877 Old National Hwy</t>
  </si>
  <si>
    <t xml:space="preserve">30337</t>
  </si>
  <si>
    <t xml:space="preserve">Legacy Beverage Center</t>
  </si>
  <si>
    <t xml:space="preserve">Legacy Beverage Center - Loganville</t>
  </si>
  <si>
    <t xml:space="preserve">330 Athens Hwy</t>
  </si>
  <si>
    <t xml:space="preserve">Loganville</t>
  </si>
  <si>
    <t xml:space="preserve">30052</t>
  </si>
  <si>
    <t xml:space="preserve">Local Vine Wine Beer and Liquor</t>
  </si>
  <si>
    <t xml:space="preserve">Local Vine Wine Beer and Liquor - Atlanta</t>
  </si>
  <si>
    <t xml:space="preserve">3101 Cobb Pkwy SE</t>
  </si>
  <si>
    <t xml:space="preserve">30339</t>
  </si>
  <si>
    <t xml:space="preserve">Maple Party Shop</t>
  </si>
  <si>
    <t xml:space="preserve">Maple Party Shop - Columbus</t>
  </si>
  <si>
    <t xml:space="preserve">8328 Veterans Pkwy</t>
  </si>
  <si>
    <t xml:space="preserve">31909</t>
  </si>
  <si>
    <t xml:space="preserve">Northside Drive Liquor Store</t>
  </si>
  <si>
    <t xml:space="preserve">Northside Drive Liquor Store - Atlanta_2</t>
  </si>
  <si>
    <t xml:space="preserve">1341 Northside Dr NW</t>
  </si>
  <si>
    <t xml:space="preserve">30318</t>
  </si>
  <si>
    <t xml:space="preserve">Rainbow Liquore Store</t>
  </si>
  <si>
    <t xml:space="preserve">Rainbow Liquore Store - Atlanta</t>
  </si>
  <si>
    <t xml:space="preserve">1385 Simpson Rd NW</t>
  </si>
  <si>
    <t xml:space="preserve">30314</t>
  </si>
  <si>
    <t xml:space="preserve">Super Jasper Package</t>
  </si>
  <si>
    <t xml:space="preserve">Super Jasper Package - Conyers</t>
  </si>
  <si>
    <t xml:space="preserve">2212 SALEM ROAD SE</t>
  </si>
  <si>
    <t xml:space="preserve">Conyers</t>
  </si>
  <si>
    <t xml:space="preserve">30013</t>
  </si>
  <si>
    <t xml:space="preserve">Us 1</t>
  </si>
  <si>
    <t xml:space="preserve">Us 1 - Decatur</t>
  </si>
  <si>
    <t xml:space="preserve">1923 Wesley Chapel Rd</t>
  </si>
  <si>
    <t xml:space="preserve">30035</t>
  </si>
  <si>
    <t xml:space="preserve">Island Spirits #5</t>
  </si>
  <si>
    <t xml:space="preserve">Longs</t>
  </si>
  <si>
    <t xml:space="preserve">10233 SC-905 Unit B, Longs, SC 29568</t>
  </si>
  <si>
    <t xml:space="preserve">Island Spirits</t>
  </si>
  <si>
    <t xml:space="preserve">ChIJm9nEGqp5AIkRk3NuxZ97HcY</t>
  </si>
  <si>
    <t xml:space="preserve">Medium - store number unverified</t>
  </si>
  <si>
    <t xml:space="preserve">Juanitos Liquor Store</t>
  </si>
  <si>
    <t xml:space="preserve">El Paso</t>
  </si>
  <si>
    <t xml:space="preserve">7810 N Loop Dr, El Paso, TX 79915</t>
  </si>
  <si>
    <t xml:space="preserve">Juanito's Liquor Store</t>
  </si>
  <si>
    <t xml:space="preserve">ChIJSXnTZ6Zc54YRNIgE2LImyuU</t>
  </si>
  <si>
    <t xml:space="preserve">East Valley Liquors</t>
  </si>
  <si>
    <t xml:space="preserve">East Valley Liquors - Clifton_2</t>
  </si>
  <si>
    <t xml:space="preserve">418 32 Rd</t>
  </si>
  <si>
    <t xml:space="preserve">Clifton</t>
  </si>
  <si>
    <t xml:space="preserve">81520</t>
  </si>
  <si>
    <t xml:space="preserve">Southern Glazers Beverage Company of: Monument, CO</t>
  </si>
  <si>
    <t xml:space="preserve">Tower Landing Liquors</t>
  </si>
  <si>
    <t xml:space="preserve">Tower Landing Liquors - Aurora</t>
  </si>
  <si>
    <t xml:space="preserve">1155 S Tower Rd</t>
  </si>
  <si>
    <t xml:space="preserve">80017</t>
  </si>
  <si>
    <t xml:space="preserve">AIKEN BEVERAGE</t>
  </si>
  <si>
    <t xml:space="preserve">Aiken</t>
  </si>
  <si>
    <t xml:space="preserve">1551 Whiskey Rd, Aiken, SC 29803</t>
  </si>
  <si>
    <t xml:space="preserve">Aiken Beverage Center</t>
  </si>
  <si>
    <t xml:space="preserve">ChIJJwtCnENN-IgR9cCc9H8-WgM</t>
  </si>
  <si>
    <t xml:space="preserve">COOSAW LIQUOR AND WINE</t>
  </si>
  <si>
    <t xml:space="preserve">North Charleston</t>
  </si>
  <si>
    <t xml:space="preserve">8600 Dorchester Rd Ste 404, North Charleston, SC 29420</t>
  </si>
  <si>
    <t xml:space="preserve">Coosaw liquor and wine</t>
  </si>
  <si>
    <t xml:space="preserve">ChIJWRUL28-J_ogRWZ-uXyG4bIE</t>
  </si>
  <si>
    <t xml:space="preserve">Johnson Price Abc</t>
  </si>
  <si>
    <t xml:space="preserve">Aynor</t>
  </si>
  <si>
    <t xml:space="preserve">2650 US-501, Aynor, SC 29511</t>
  </si>
  <si>
    <t xml:space="preserve">Johnson ABC &amp; Beverage Mart</t>
  </si>
  <si>
    <t xml:space="preserve">ChIJZxnQh29pAIkRFFK24KWAtp0</t>
  </si>
  <si>
    <t xml:space="preserve">Medium - partial name match</t>
  </si>
  <si>
    <t xml:space="preserve">American Liquor &amp; Wine</t>
  </si>
  <si>
    <t xml:space="preserve">Justin</t>
  </si>
  <si>
    <t xml:space="preserve">815 W 1st St, Justin, TX 76247</t>
  </si>
  <si>
    <t xml:space="preserve">American liquor and wine</t>
  </si>
  <si>
    <t xml:space="preserve">ChIJqacSJaTFTYYRJmVFjKojmK8</t>
  </si>
  <si>
    <t xml:space="preserve">Buffalo Chip Liquor, Beer and Wine</t>
  </si>
  <si>
    <t xml:space="preserve">Buffalo Chip Liquor, Beer and Wine - AMARILLO</t>
  </si>
  <si>
    <t xml:space="preserve">Amarillo</t>
  </si>
  <si>
    <t xml:space="preserve">13290 I-27, Amarillo, TX 79119</t>
  </si>
  <si>
    <t xml:space="preserve">Buffalo Chip Package Store</t>
  </si>
  <si>
    <t xml:space="preserve">ChIJ6-u_q2NbAYcRVrHkPCI6J5E</t>
  </si>
  <si>
    <t xml:space="preserve">CJ's Liquor(Terrell)</t>
  </si>
  <si>
    <t xml:space="preserve">Terrell</t>
  </si>
  <si>
    <t xml:space="preserve">2810 E Main St, Mabank, TX 75147</t>
  </si>
  <si>
    <t xml:space="preserve">CJ's Liquor</t>
  </si>
  <si>
    <t xml:space="preserve">ChIJe3Xr43kkSYYRmhfUwPLxgHA</t>
  </si>
  <si>
    <t xml:space="preserve">Low - city mismatch, verify before publishing</t>
  </si>
  <si>
    <t xml:space="preserve">BEACH DISCOUNT BEVERAGES</t>
  </si>
  <si>
    <t xml:space="preserve">High Proof Reposado</t>
  </si>
  <si>
    <t xml:space="preserve">2204 N Kings Hwy, Myrtle Beach, SC 29577</t>
  </si>
  <si>
    <t xml:space="preserve">Beach Discount Beverages</t>
  </si>
  <si>
    <t xml:space="preserve">ChIJG_G4RvBoAIkRtFtICBb1gj8</t>
  </si>
  <si>
    <t xml:space="preserve">GREENS BEV Garners Ferry</t>
  </si>
  <si>
    <t xml:space="preserve">Columbia</t>
  </si>
  <si>
    <t xml:space="preserve">Blanco, Reposado, High Proof Reposado</t>
  </si>
  <si>
    <t xml:space="preserve">6800 Garners Ferry Rd, Columbia, SC 29209</t>
  </si>
  <si>
    <t xml:space="preserve">Green's Garners Ferry</t>
  </si>
  <si>
    <t xml:space="preserve">ChIJx6cj3u2x-IgRaCGOuUtgKN8</t>
  </si>
  <si>
    <t xml:space="preserve">LOCAL LIQUOR</t>
  </si>
  <si>
    <t xml:space="preserve">Ridgeland</t>
  </si>
  <si>
    <t xml:space="preserve">149 Riverwalk Blvd, Ridgeland, SC 29936</t>
  </si>
  <si>
    <t xml:space="preserve">Local Liquor</t>
  </si>
  <si>
    <t xml:space="preserve">ChIJaQv5nACN-4gR4-PvnuRJWmc</t>
  </si>
  <si>
    <t xml:space="preserve">WALL STREET LIQUOR AND WINE</t>
  </si>
  <si>
    <t xml:space="preserve">Camden</t>
  </si>
  <si>
    <t xml:space="preserve">168 Wall St Unit 202-203, Camden, SC 29020</t>
  </si>
  <si>
    <t xml:space="preserve">Wall Street Liquor &amp; Wine</t>
  </si>
  <si>
    <t xml:space="preserve">ChIJHwrd8_73VYgRJCrbYI2Ek4I</t>
  </si>
  <si>
    <t xml:space="preserve">Goody Goody #28</t>
  </si>
  <si>
    <t xml:space="preserve">Bedford</t>
  </si>
  <si>
    <t xml:space="preserve">1612 Airport Fwy, Bedford, TX 76022</t>
  </si>
  <si>
    <t xml:space="preserve">ChIJA9uw3W1_ToYRnukusq-YfQk</t>
  </si>
  <si>
    <t xml:space="preserve">Reggis Liquor (McKinney)</t>
  </si>
  <si>
    <t xml:space="preserve">Mckinney</t>
  </si>
  <si>
    <t xml:space="preserve">210 Coit Rd Ste 210, McKinney, TX 75071</t>
  </si>
  <si>
    <t xml:space="preserve">Reggis Liquor</t>
  </si>
  <si>
    <t xml:space="preserve">ChIJ6TRM0Xc_TIYRSSsTDMT7cjk</t>
  </si>
  <si>
    <t xml:space="preserve">Reggis Liquor (Sycamore)</t>
  </si>
  <si>
    <t xml:space="preserve">Fort Worth</t>
  </si>
  <si>
    <t xml:space="preserve">5240 Sycamore School Rd, Fort Worth, TX 76123</t>
  </si>
  <si>
    <t xml:space="preserve">Reggis liquor</t>
  </si>
  <si>
    <t xml:space="preserve">ChIJo6MJ1-ptToYRbiSvjsDpbfU</t>
  </si>
  <si>
    <t xml:space="preserve">Spec's #150 Dallas Superstore</t>
  </si>
  <si>
    <t xml:space="preserve">Dallas</t>
  </si>
  <si>
    <t xml:space="preserve">9500 N Central Expy #200, Dallas, TX 75231</t>
  </si>
  <si>
    <t xml:space="preserve">Spec's Wines, Spirits &amp; Finer Foods</t>
  </si>
  <si>
    <t xml:space="preserve">ChIJP4bsIuqfToYRq6_C67SeRQ0</t>
  </si>
  <si>
    <t xml:space="preserve">Spec's #171 Ingram Festival Loop</t>
  </si>
  <si>
    <t xml:space="preserve">San Antonio</t>
  </si>
  <si>
    <t xml:space="preserve">Mexcor Texas - San Marcos</t>
  </si>
  <si>
    <t xml:space="preserve">6065 Northwest Loop 410 #108, San Antonio, TX 78238</t>
  </si>
  <si>
    <t xml:space="preserve">ChIJW8zvZk9dXIYRSDYBc1JBxqw</t>
  </si>
  <si>
    <t xml:space="preserve">The Point Liquor #1</t>
  </si>
  <si>
    <t xml:space="preserve">Morgans Point Resort</t>
  </si>
  <si>
    <t xml:space="preserve">147 FM2483, Morgan's Point Resort, TX 76513</t>
  </si>
  <si>
    <t xml:space="preserve">Point Liquor Store</t>
  </si>
  <si>
    <t xml:space="preserve">ChIJAaLNfhhCRYYRewpUx1F2800</t>
  </si>
  <si>
    <t xml:space="preserve">WB Liquors #88</t>
  </si>
  <si>
    <t xml:space="preserve">6104 N Mesa St, El Paso, TX 79912</t>
  </si>
  <si>
    <t xml:space="preserve">WB Liquors &amp; Wine</t>
  </si>
  <si>
    <t xml:space="preserve">ChIJ44ub495X54YR-fAe55Vd0aA</t>
  </si>
  <si>
    <t xml:space="preserve">Good Times Wine Spirits &amp; Brew</t>
  </si>
  <si>
    <t xml:space="preserve">1369 Interstate Drive</t>
  </si>
  <si>
    <t xml:space="preserve">Crossville</t>
  </si>
  <si>
    <t xml:space="preserve">TN</t>
  </si>
  <si>
    <t xml:space="preserve">38555</t>
  </si>
  <si>
    <t xml:space="preserve">Bar &amp; Restaurant</t>
  </si>
  <si>
    <t xml:space="preserve">Athens Distributing - Chattanooga</t>
  </si>
  <si>
    <t xml:space="preserve">Tennessee</t>
  </si>
  <si>
    <t xml:space="preserve">Depletion_Report_Chattanooga_TN.xlsx</t>
  </si>
  <si>
    <t xml:space="preserve">Jay Ashapuri Inc - Liquor Hub</t>
  </si>
  <si>
    <t xml:space="preserve">Boca Raton</t>
  </si>
  <si>
    <t xml:space="preserve">21643 FL-7, Boca Raton, FL 33428</t>
  </si>
  <si>
    <t xml:space="preserve">Liquor Hub</t>
  </si>
  <si>
    <t xml:space="preserve">ChIJ70AfvW4b2YgR8TKuq4h7Ylk</t>
  </si>
  <si>
    <t xml:space="preserve">High - trade name and city match</t>
  </si>
  <si>
    <t xml:space="preserve">G04 Liquor</t>
  </si>
  <si>
    <t xml:space="preserve">Irving</t>
  </si>
  <si>
    <t xml:space="preserve">Blanco, Reposado, Cristalino</t>
  </si>
  <si>
    <t xml:space="preserve">Boss Liquors</t>
  </si>
  <si>
    <t xml:space="preserve">Boss Liquors - Thornton</t>
  </si>
  <si>
    <t xml:space="preserve">5781 E 128th Ave</t>
  </si>
  <si>
    <t xml:space="preserve">Thornton</t>
  </si>
  <si>
    <t xml:space="preserve">80602</t>
  </si>
  <si>
    <t xml:space="preserve">Blanco, Anejo</t>
  </si>
  <si>
    <t xml:space="preserve">Chatfield Wine &amp; Spirits</t>
  </si>
  <si>
    <t xml:space="preserve">Chatfield Wine &amp; Spirits - Littleton</t>
  </si>
  <si>
    <t xml:space="preserve">8156 S Wadsworth Blvd</t>
  </si>
  <si>
    <t xml:space="preserve">Littleton</t>
  </si>
  <si>
    <t xml:space="preserve">80128</t>
  </si>
  <si>
    <t xml:space="preserve">Kokopelli Liquors</t>
  </si>
  <si>
    <t xml:space="preserve">Kokopelli Liquors - Grand Junction</t>
  </si>
  <si>
    <t xml:space="preserve">2996 D Rd</t>
  </si>
  <si>
    <t xml:space="preserve">Grand Junction</t>
  </si>
  <si>
    <t xml:space="preserve">81504</t>
  </si>
  <si>
    <t xml:space="preserve">Levine Liquors Denver</t>
  </si>
  <si>
    <t xml:space="preserve">Levine Liquors Denver - Denver</t>
  </si>
  <si>
    <t xml:space="preserve">1160 S Parker Rd</t>
  </si>
  <si>
    <t xml:space="preserve">Denver</t>
  </si>
  <si>
    <t xml:space="preserve">80231</t>
  </si>
  <si>
    <t xml:space="preserve">Affordable Spirits</t>
  </si>
  <si>
    <t xml:space="preserve">Affordable Spirits - Atlanta</t>
  </si>
  <si>
    <t xml:space="preserve">1151 Chattahoochee Ave NW</t>
  </si>
  <si>
    <t xml:space="preserve">Reposado, Anejo</t>
  </si>
  <si>
    <t xml:space="preserve">Atlanta Package</t>
  </si>
  <si>
    <t xml:space="preserve">Atlanta Package - Atlanta</t>
  </si>
  <si>
    <t xml:space="preserve">3268 BUFORD HIGHWAY</t>
  </si>
  <si>
    <t xml:space="preserve">30329</t>
  </si>
  <si>
    <t xml:space="preserve">Brookhaven Bottle Shop</t>
  </si>
  <si>
    <t xml:space="preserve">Brookhaven Bottle Shop - Atlanta</t>
  </si>
  <si>
    <t xml:space="preserve">4200 Peachtree Rd NE</t>
  </si>
  <si>
    <t xml:space="preserve">30319</t>
  </si>
  <si>
    <t xml:space="preserve">Eagle's Landing Bottle Shoppe #2</t>
  </si>
  <si>
    <t xml:space="preserve">Eagle's Landing Bottle Shoppe #2 - Stockbridge</t>
  </si>
  <si>
    <t xml:space="preserve">100 Eagles Landing Pkwy</t>
  </si>
  <si>
    <t xml:space="preserve">Reposado</t>
  </si>
  <si>
    <t xml:space="preserve">East West Package</t>
  </si>
  <si>
    <t xml:space="preserve">East West Package - Austell</t>
  </si>
  <si>
    <t xml:space="preserve">1025 E WEST CONNECTOR STE 605</t>
  </si>
  <si>
    <t xml:space="preserve">Austell</t>
  </si>
  <si>
    <t xml:space="preserve">30106</t>
  </si>
  <si>
    <t xml:space="preserve">Flat Top Grill Pooler</t>
  </si>
  <si>
    <t xml:space="preserve">Flat Top Grill Pooler - Pooler</t>
  </si>
  <si>
    <t xml:space="preserve">125 Foxfield Way</t>
  </si>
  <si>
    <t xml:space="preserve">Pooler</t>
  </si>
  <si>
    <t xml:space="preserve">31322</t>
  </si>
  <si>
    <t xml:space="preserve">Southern Crown Partners: Garden City, GA</t>
  </si>
  <si>
    <t xml:space="preserve">Georgia World of Beverage #28</t>
  </si>
  <si>
    <t xml:space="preserve">Georgia World of Beverage #28 - Fairburn</t>
  </si>
  <si>
    <t xml:space="preserve">8455 SENOIA ROAD</t>
  </si>
  <si>
    <t xml:space="preserve">Fairburn</t>
  </si>
  <si>
    <t xml:space="preserve">30213</t>
  </si>
  <si>
    <t xml:space="preserve">Hilltop Beverage</t>
  </si>
  <si>
    <t xml:space="preserve">Hilltop Beverage - East Ellijay</t>
  </si>
  <si>
    <t xml:space="preserve">12 Hefner Street Ste 109</t>
  </si>
  <si>
    <t xml:space="preserve">East Ellijay</t>
  </si>
  <si>
    <t xml:space="preserve">30540</t>
  </si>
  <si>
    <t xml:space="preserve">Liberty Package</t>
  </si>
  <si>
    <t xml:space="preserve">Liberty Package - Forest Park</t>
  </si>
  <si>
    <t xml:space="preserve">4568 Old Dixie Hwy</t>
  </si>
  <si>
    <t xml:space="preserve">Forest Park</t>
  </si>
  <si>
    <t xml:space="preserve">30297</t>
  </si>
  <si>
    <t xml:space="preserve">Merchants Package Store</t>
  </si>
  <si>
    <t xml:space="preserve">Merchants Package Store - Marietta</t>
  </si>
  <si>
    <t xml:space="preserve">1272 Johnson Ferry Road</t>
  </si>
  <si>
    <t xml:space="preserve">30068</t>
  </si>
  <si>
    <t xml:space="preserve">Monarca Wings &amp; Mexican Restaurant</t>
  </si>
  <si>
    <t xml:space="preserve">Monarca Wings &amp; Mexican Restaurant - Rockmart</t>
  </si>
  <si>
    <t xml:space="preserve">226 Sycamore Grove Ct</t>
  </si>
  <si>
    <t xml:space="preserve">Rockmart</t>
  </si>
  <si>
    <t xml:space="preserve">30153</t>
  </si>
  <si>
    <t xml:space="preserve">Sidd's Beer Wine Spirits</t>
  </si>
  <si>
    <t xml:space="preserve">Sidd's Beer Wine Spirits - Marietta</t>
  </si>
  <si>
    <t xml:space="preserve">1294 POWDER SPRINGS ST</t>
  </si>
  <si>
    <t xml:space="preserve">30064</t>
  </si>
  <si>
    <t xml:space="preserve">Summit Fine Wine and Spirits</t>
  </si>
  <si>
    <t xml:space="preserve">Summit Fine Wine and Spirits - Fayetteville</t>
  </si>
  <si>
    <t xml:space="preserve">832 GLYNN ST S</t>
  </si>
  <si>
    <t xml:space="preserve">Anejo</t>
  </si>
  <si>
    <t xml:space="preserve">Wilmington Island Beverage</t>
  </si>
  <si>
    <t xml:space="preserve">Wilmington Island Beverage - Savannah</t>
  </si>
  <si>
    <t xml:space="preserve">205 JOHNNY MERCER BLVD</t>
  </si>
  <si>
    <t xml:space="preserve">Savannah</t>
  </si>
  <si>
    <t xml:space="preserve">31410</t>
  </si>
  <si>
    <t xml:space="preserve">Winters Fine Wine &amp; Spirits</t>
  </si>
  <si>
    <t xml:space="preserve">Winters Fine Wine &amp; Spirits - Dunwoody</t>
  </si>
  <si>
    <t xml:space="preserve">6900 PEACHTREE INDUSTRIAL BLVD STE E-G</t>
  </si>
  <si>
    <t xml:space="preserve">Dunwoody</t>
  </si>
  <si>
    <t xml:space="preserve">30360</t>
  </si>
  <si>
    <t xml:space="preserve">Davis Liquor Outlet</t>
  </si>
  <si>
    <t xml:space="preserve">Davis Liquor Outlet - Wichita_3</t>
  </si>
  <si>
    <t xml:space="preserve">1406 N Waco Ave</t>
  </si>
  <si>
    <t xml:space="preserve">Wichita</t>
  </si>
  <si>
    <t xml:space="preserve">KS</t>
  </si>
  <si>
    <t xml:space="preserve">67203</t>
  </si>
  <si>
    <t xml:space="preserve">Worldwide Beverage Group: Lenexa, KS</t>
  </si>
  <si>
    <t xml:space="preserve">Kansas</t>
  </si>
  <si>
    <t xml:space="preserve">Copy_of_Depletions_KS_July_2026.xlsx</t>
  </si>
  <si>
    <t xml:space="preserve">The Brothers Beer &amp; Bourbon House</t>
  </si>
  <si>
    <t xml:space="preserve">The Brothers Beer &amp; Bourbon House - St. Louis</t>
  </si>
  <si>
    <t xml:space="preserve">3880 S Lindbergh Blvd</t>
  </si>
  <si>
    <t xml:space="preserve">St. Louis</t>
  </si>
  <si>
    <t xml:space="preserve">MO</t>
  </si>
  <si>
    <t xml:space="preserve">63127</t>
  </si>
  <si>
    <t xml:space="preserve">Craft Republic: St. Louis, MO</t>
  </si>
  <si>
    <t xml:space="preserve">Missouri</t>
  </si>
  <si>
    <t xml:space="preserve">Blanco, Anejo, Cristalino, High Proof Reposado</t>
  </si>
  <si>
    <t xml:space="preserve">Copy_of_Depletions_MO_July_2026.xlsx</t>
  </si>
  <si>
    <t xml:space="preserve">AMERICAN LIQUOR Spartanburg</t>
  </si>
  <si>
    <t xml:space="preserve">Spartanburg</t>
  </si>
  <si>
    <t xml:space="preserve">2401 Reidville Rd Ste 4, Spartanburg, SC 29301</t>
  </si>
  <si>
    <t xml:space="preserve">American Liquor</t>
  </si>
  <si>
    <t xml:space="preserve">ChIJN_7ay06dV4gRZyXCauiyPFg</t>
  </si>
  <si>
    <t xml:space="preserve">BISHOPVILLE LIQUOR'S</t>
  </si>
  <si>
    <t xml:space="preserve">Bishopville</t>
  </si>
  <si>
    <t xml:space="preserve">507 S Main St, Bishopville, SC 29010</t>
  </si>
  <si>
    <t xml:space="preserve">Bishopville Liquor's</t>
  </si>
  <si>
    <t xml:space="preserve">ChIJecmmfjuFVYgRsiN6OtC5ReE</t>
  </si>
  <si>
    <t xml:space="preserve">Buoys Liquor &amp; Wine</t>
  </si>
  <si>
    <t xml:space="preserve">Beaufort</t>
  </si>
  <si>
    <t xml:space="preserve">860 Parris Island Gateway A, Beaufort, SC 29906</t>
  </si>
  <si>
    <t xml:space="preserve">Buoy's Liquor &amp; Wine</t>
  </si>
  <si>
    <t xml:space="preserve">ChIJweBhvlQL_IgRC8IYWhRJJVA</t>
  </si>
  <si>
    <t xml:space="preserve">Carolina Spirits #2</t>
  </si>
  <si>
    <t xml:space="preserve">N Charleston</t>
  </si>
  <si>
    <t xml:space="preserve">8350 Dorchester Rd D, North Charleston, SC 29418</t>
  </si>
  <si>
    <t xml:space="preserve">Carolina Spirits #1</t>
  </si>
  <si>
    <t xml:space="preserve">ChIJxemjmdOJ_ogRcyR6NR0jbFE</t>
  </si>
  <si>
    <t xml:space="preserve">Low - matched store #1, not #2</t>
  </si>
  <si>
    <t xml:space="preserve">Corner Package Store</t>
  </si>
  <si>
    <t xml:space="preserve">1325 McIlwain Rd, Lancaster, SC 29720</t>
  </si>
  <si>
    <t xml:space="preserve">ChIJwf1PVs7ZVYgR1EPywEknogc</t>
  </si>
  <si>
    <t xml:space="preserve">Hwy 9 ABC (Lancaster)</t>
  </si>
  <si>
    <t xml:space="preserve">1129 Hwy 9 Bypass W Ste B, Lancaster, SC 29720</t>
  </si>
  <si>
    <t xml:space="preserve">Hwy 9 Wine and Spirits - ABC Store</t>
  </si>
  <si>
    <t xml:space="preserve">ChIJS_B0SuPXVYgR9yqJBGqiBNw</t>
  </si>
  <si>
    <t xml:space="preserve">JD LIQUOR (N Church)</t>
  </si>
  <si>
    <t xml:space="preserve">1001 N Church St, Spartanburg, SC 29303</t>
  </si>
  <si>
    <t xml:space="preserve">JD LIQUORS</t>
  </si>
  <si>
    <t xml:space="preserve">ChIJ7daRdQp1V4gR82-HoqPIMzA</t>
  </si>
  <si>
    <t xml:space="preserve">High - name, street and city match</t>
  </si>
  <si>
    <t xml:space="preserve">LUCKY ABC (SC)</t>
  </si>
  <si>
    <t xml:space="preserve">Inman</t>
  </si>
  <si>
    <t xml:space="preserve">61 S Main St, Inman, SC 29349</t>
  </si>
  <si>
    <t xml:space="preserve">Lucky ABC Party Shop</t>
  </si>
  <si>
    <t xml:space="preserve">ChIJGapnAyF5V4gRm80d7LckU08</t>
  </si>
  <si>
    <t xml:space="preserve">MO LIQUOR(SC)</t>
  </si>
  <si>
    <t xml:space="preserve">Warrenville</t>
  </si>
  <si>
    <t xml:space="preserve">2551 Jefferson Davis Hwy, Warrenville, SC 29851</t>
  </si>
  <si>
    <t xml:space="preserve">Mo Liquor</t>
  </si>
  <si>
    <t xml:space="preserve">ChIJ45hhMTG1-YgRHQF1EdHwSsg</t>
  </si>
  <si>
    <t xml:space="preserve">MR Liquor (SC)</t>
  </si>
  <si>
    <t xml:space="preserve">Eutawville</t>
  </si>
  <si>
    <t xml:space="preserve">12104 Old Number Six Hwy, Eutawville, SC 29048</t>
  </si>
  <si>
    <t xml:space="preserve">Mr. Liquor</t>
  </si>
  <si>
    <t xml:space="preserve">ChIJ2yWhuUnj_ogRPuZyq92Y5n4</t>
  </si>
  <si>
    <t xml:space="preserve">Port City Liquors North - LD</t>
  </si>
  <si>
    <t xml:space="preserve">Goose Creek</t>
  </si>
  <si>
    <t xml:space="preserve">405 Red Bank Rd, Goose Creek, SC 29445</t>
  </si>
  <si>
    <t xml:space="preserve">Port City Liquors North</t>
  </si>
  <si>
    <t xml:space="preserve">ChIJN97qGhhh_ogRmvoiMgQ61_E</t>
  </si>
  <si>
    <t xml:space="preserve">SLABTOWN PACKAGE STORE</t>
  </si>
  <si>
    <t xml:space="preserve">Pendleton</t>
  </si>
  <si>
    <t xml:space="preserve">Reposado, Anejo, High Proof Reposado</t>
  </si>
  <si>
    <t xml:space="preserve">725 Pickens Dr C, Pendleton, SC 29670</t>
  </si>
  <si>
    <t xml:space="preserve">Slabtown package store</t>
  </si>
  <si>
    <t xml:space="preserve">ChIJ21c2sTxBWIgRFk0apJ63dLY</t>
  </si>
  <si>
    <t xml:space="preserve">Sams Wine And Spirits - LD</t>
  </si>
  <si>
    <t xml:space="preserve">Lexington</t>
  </si>
  <si>
    <t xml:space="preserve">5050 Sunset Blvd, Lexington, SC 29072</t>
  </si>
  <si>
    <t xml:space="preserve">Sam's Wine and Spirits</t>
  </si>
  <si>
    <t xml:space="preserve">ChIJfQfcHPWX-IgRfgNraZPkQfU</t>
  </si>
  <si>
    <t xml:space="preserve">Doe River Wine &amp; Spirits</t>
  </si>
  <si>
    <t xml:space="preserve">630 Broad Street</t>
  </si>
  <si>
    <t xml:space="preserve">Elizabethton</t>
  </si>
  <si>
    <t xml:space="preserve">37643</t>
  </si>
  <si>
    <t xml:space="preserve">Belton Town Liquor</t>
  </si>
  <si>
    <t xml:space="preserve">Belton</t>
  </si>
  <si>
    <t xml:space="preserve">608 E Central Ave Unit A, Belton, TX 76513</t>
  </si>
  <si>
    <t xml:space="preserve">Belton town liquor</t>
  </si>
  <si>
    <t xml:space="preserve">ChIJkZwmZXBBRYYR13SSlnjBOVc</t>
  </si>
  <si>
    <t xml:space="preserve">Big Bottle Liquor Store #1</t>
  </si>
  <si>
    <t xml:space="preserve">Pearland</t>
  </si>
  <si>
    <t xml:space="preserve">11041 Shadow Creek Pkwy Ste 102, Pearland, TX 77584</t>
  </si>
  <si>
    <t xml:space="preserve">Big Bottle Liquor Store (BB1)</t>
  </si>
  <si>
    <t xml:space="preserve">ChIJZ2VKZVSTQIYRtZN6Ezj7TV4</t>
  </si>
  <si>
    <t xml:space="preserve">Dot's Liquor</t>
  </si>
  <si>
    <t xml:space="preserve">Fresno</t>
  </si>
  <si>
    <t xml:space="preserve">12207 Hwy 6 Ste B, Fresno, TX 77545</t>
  </si>
  <si>
    <t xml:space="preserve">ChIJwQIlOnTuQIYR3iI2_vVEkuk</t>
  </si>
  <si>
    <t xml:space="preserve">Double Barrel Wine and Spirits</t>
  </si>
  <si>
    <t xml:space="preserve">Forney</t>
  </si>
  <si>
    <t xml:space="preserve">Reposado, Cristalino, High Proof Reposado</t>
  </si>
  <si>
    <t xml:space="preserve">11142 I-20, Forney, TX 75126</t>
  </si>
  <si>
    <t xml:space="preserve">ChIJbXGuj-6zToYRVYo3lFomqaQ</t>
  </si>
  <si>
    <t xml:space="preserve">Goody Goody #17</t>
  </si>
  <si>
    <t xml:space="preserve">6393 Camp Bowie Blvd, Fort Worth, TX 76116</t>
  </si>
  <si>
    <t xml:space="preserve">ChIJk1GeNydzToYRF80cdaCJ-WQ</t>
  </si>
  <si>
    <t xml:space="preserve">Grand Liquor (Anna)</t>
  </si>
  <si>
    <t xml:space="preserve">Anna</t>
  </si>
  <si>
    <t xml:space="preserve">628 W White St Ste 106, Anna, TX 75409</t>
  </si>
  <si>
    <t xml:space="preserve">Grand Liquor</t>
  </si>
  <si>
    <t xml:space="preserve">ChIJ2T3VrNJzTIYROl4xR8f-oFI</t>
  </si>
  <si>
    <t xml:space="preserve">Hotspot Liquor &amp; Vape</t>
  </si>
  <si>
    <t xml:space="preserve">Rosharon</t>
  </si>
  <si>
    <t xml:space="preserve">3244 Meridiana Pkwy Ste 800, Rosharon, TX 77583</t>
  </si>
  <si>
    <t xml:space="preserve">HOTSPOT LIQUOR &amp; SMOKE SHOP</t>
  </si>
  <si>
    <t xml:space="preserve">ChIJldWB5eLzQIYRsbsSG0_qY0s</t>
  </si>
  <si>
    <t xml:space="preserve">Liquor Depot (KMY) Glenn Heights (Hampton)</t>
  </si>
  <si>
    <t xml:space="preserve">M &amp; R Package Store</t>
  </si>
  <si>
    <t xml:space="preserve">5901 Bell St Ste C7, Amarillo, TX 79109</t>
  </si>
  <si>
    <t xml:space="preserve">M&amp;R Liquor</t>
  </si>
  <si>
    <t xml:space="preserve">ChIJ64cfAaZaAYcRcn5j4sFAG2c</t>
  </si>
  <si>
    <t xml:space="preserve">Spec's #075 Killeen</t>
  </si>
  <si>
    <t xml:space="preserve">Killeen</t>
  </si>
  <si>
    <t xml:space="preserve">2500 E Central Texas Expy, Killeen, TX 76543</t>
  </si>
  <si>
    <t xml:space="preserve">ChIJb5nAHMhLRYYR3WLNSUD5Vao</t>
  </si>
  <si>
    <t xml:space="preserve">High - single location in city | premise confirmed as liquor store by Google category</t>
  </si>
  <si>
    <t xml:space="preserve">Spec's #094 El Paso Sunland Park</t>
  </si>
  <si>
    <t xml:space="preserve">655 Sunland Park Dr Ste F, El Paso, TX 79912</t>
  </si>
  <si>
    <t xml:space="preserve">ChIJmyTxhg743YYRNle3ZdV6p38</t>
  </si>
  <si>
    <t xml:space="preserve">High - street name confirms branch | premise confirmed as liquor store by Google category</t>
  </si>
  <si>
    <t xml:space="preserve">Spec's #105 El Paso Mesa</t>
  </si>
  <si>
    <t xml:space="preserve">2501 N Mesa St, El Paso, TX 79902</t>
  </si>
  <si>
    <t xml:space="preserve">ChIJVcd-hGxZ54YRXVMKalKL4jo</t>
  </si>
  <si>
    <t xml:space="preserve">Spec's #170 Euless</t>
  </si>
  <si>
    <t xml:space="preserve">Euless</t>
  </si>
  <si>
    <t xml:space="preserve">900 E Harwood Rd, Euless, TX 76039</t>
  </si>
  <si>
    <t xml:space="preserve">ChIJV_z4d8GBToYRP7iWUtJ3UJo</t>
  </si>
  <si>
    <t xml:space="preserve">Spec's #191 Cedar Hill</t>
  </si>
  <si>
    <t xml:space="preserve">Cedar Hill</t>
  </si>
  <si>
    <t xml:space="preserve">971 J. Elmer Weaver Fwy #400, Cedar Hill, TX 75104</t>
  </si>
  <si>
    <t xml:space="preserve">ChIJBXqp4JWNToYRsVq36m_09ec</t>
  </si>
  <si>
    <t xml:space="preserve">Spec's #202 Grand Prairie</t>
  </si>
  <si>
    <t xml:space="preserve">Grand Prairie</t>
  </si>
  <si>
    <t xml:space="preserve">4136 S Carrier Pkwy Ste 340, Grand Prairie, TX 75052</t>
  </si>
  <si>
    <t xml:space="preserve">ChIJeYDFYGyJToYRKt9Psmmu2s0</t>
  </si>
  <si>
    <t xml:space="preserve">Spec's #223 Burleson</t>
  </si>
  <si>
    <t xml:space="preserve">12425 South Fwy, Burleson, TX 76028</t>
  </si>
  <si>
    <t xml:space="preserve">ChIJ42NDHgBpToYR1y3JlZ5iZRA</t>
  </si>
  <si>
    <t xml:space="preserve">Medium - reported city is Fort Worth, store sits in Burleson | premise confirmed as liquor store by Google category</t>
  </si>
  <si>
    <t xml:space="preserve">The Liquor Cabinet</t>
  </si>
  <si>
    <t xml:space="preserve">The Liquor Cabinet - Leander</t>
  </si>
  <si>
    <t xml:space="preserve">Leander</t>
  </si>
  <si>
    <t xml:space="preserve">15301 Ronald Reagan Blvd #11110, Leander, TX 78641</t>
  </si>
  <si>
    <t xml:space="preserve">ChIJvyEKiuUtW4YR7TWlEzOmbuk</t>
  </si>
  <si>
    <t xml:space="preserve">WB Liquors #90</t>
  </si>
  <si>
    <t xml:space="preserve">The Liquor Outpost #7</t>
  </si>
  <si>
    <t xml:space="preserve">Arlington</t>
  </si>
  <si>
    <t xml:space="preserve">1450 Debbie Ln #100, Arlington, TX 76002</t>
  </si>
  <si>
    <t xml:space="preserve">The Liquor Outpost</t>
  </si>
  <si>
    <t xml:space="preserve">ChIJDTKZlx2KToYRCwiw3PUQLCU</t>
  </si>
  <si>
    <t xml:space="preserve">Jacks Wine and Spirits</t>
  </si>
  <si>
    <t xml:space="preserve">Jacks Wine and Spirits - Wichita</t>
  </si>
  <si>
    <t xml:space="preserve">3560 N Maize Rd</t>
  </si>
  <si>
    <t xml:space="preserve">67205</t>
  </si>
  <si>
    <t xml:space="preserve">Craft-Y Beer Wine &amp; Liquor</t>
  </si>
  <si>
    <t xml:space="preserve">Craft-Y Beer Wine &amp; Liquor - Aurora</t>
  </si>
  <si>
    <t xml:space="preserve">24300 E Smoky Hill Rd #108</t>
  </si>
  <si>
    <t xml:space="preserve">80016</t>
  </si>
  <si>
    <t xml:space="preserve">Rock Creek Liquor</t>
  </si>
  <si>
    <t xml:space="preserve">Rock Creek Liquor - Superior</t>
  </si>
  <si>
    <t xml:space="preserve">1697 Coalton Rd Unit # C</t>
  </si>
  <si>
    <t xml:space="preserve">Superior</t>
  </si>
  <si>
    <t xml:space="preserve">80027</t>
  </si>
  <si>
    <t xml:space="preserve">The Pondy</t>
  </si>
  <si>
    <t xml:space="preserve">The Pondy - Cedaredge</t>
  </si>
  <si>
    <t xml:space="preserve">220 W Main St</t>
  </si>
  <si>
    <t xml:space="preserve">Cedaredge</t>
  </si>
  <si>
    <t xml:space="preserve">81413</t>
  </si>
  <si>
    <t xml:space="preserve">Arcadia Discount Liquors</t>
  </si>
  <si>
    <t xml:space="preserve">Arcadia</t>
  </si>
  <si>
    <t xml:space="preserve">2009 FL-70, Arcadia, FL 34266</t>
  </si>
  <si>
    <t xml:space="preserve">Arcadia Discount Liquor and Beer</t>
  </si>
  <si>
    <t xml:space="preserve">ChIJKfibnAm-3IgRstim_ukhvbs</t>
  </si>
  <si>
    <t xml:space="preserve">41 Super Store</t>
  </si>
  <si>
    <t xml:space="preserve">41 Super Store - Cartersville</t>
  </si>
  <si>
    <t xml:space="preserve">1214 JOE FRANK HARRIS PARKWAY</t>
  </si>
  <si>
    <t xml:space="preserve">Cartersville</t>
  </si>
  <si>
    <t xml:space="preserve">30120</t>
  </si>
  <si>
    <t xml:space="preserve">Beer &amp; Wine Package store</t>
  </si>
  <si>
    <t xml:space="preserve">Beer &amp; Wine Package store - Chamblee</t>
  </si>
  <si>
    <t xml:space="preserve">5039 BUFORD HWY</t>
  </si>
  <si>
    <t xml:space="preserve">Chamblee</t>
  </si>
  <si>
    <t xml:space="preserve">30341</t>
  </si>
  <si>
    <t xml:space="preserve">Beverage World - Doraville wine, beer &amp; spirits -</t>
  </si>
  <si>
    <t xml:space="preserve">6731 Peachtree Industrial Blvd</t>
  </si>
  <si>
    <t xml:space="preserve">Dunwoody World Of Beverages</t>
  </si>
  <si>
    <t xml:space="preserve">Dunwoody World Of Beverages - Dunwoody</t>
  </si>
  <si>
    <t xml:space="preserve">4621 N. SHALLOWFORD RD.</t>
  </si>
  <si>
    <t xml:space="preserve">30338</t>
  </si>
  <si>
    <t xml:space="preserve">Fuego Mexican Grill &amp; Tequila Bar</t>
  </si>
  <si>
    <t xml:space="preserve">Fuego Mexican Grill &amp; Tequila Bar - Marble Hill</t>
  </si>
  <si>
    <t xml:space="preserve">60 N Gate Station</t>
  </si>
  <si>
    <t xml:space="preserve">Marble Hill</t>
  </si>
  <si>
    <t xml:space="preserve">30184</t>
  </si>
  <si>
    <t xml:space="preserve">Gwinnett Package</t>
  </si>
  <si>
    <t xml:space="preserve">Gwinnett Package - Duluth</t>
  </si>
  <si>
    <t xml:space="preserve">3142 Hill St NW</t>
  </si>
  <si>
    <t xml:space="preserve">Duluth</t>
  </si>
  <si>
    <t xml:space="preserve">30096</t>
  </si>
  <si>
    <t xml:space="preserve">JAX Beverage Superstore</t>
  </si>
  <si>
    <t xml:space="preserve">JAX Beverage Superstore - Buford - Buford</t>
  </si>
  <si>
    <t xml:space="preserve">2438 Hancock Dr</t>
  </si>
  <si>
    <t xml:space="preserve">Buford</t>
  </si>
  <si>
    <t xml:space="preserve">30519</t>
  </si>
  <si>
    <t xml:space="preserve">Jeff's Super Beverage</t>
  </si>
  <si>
    <t xml:space="preserve">Jeff's Super Beverage - Richmond Hill</t>
  </si>
  <si>
    <t xml:space="preserve">10060 FORD AVENUE, SUITE N</t>
  </si>
  <si>
    <t xml:space="preserve">Richmond Hill</t>
  </si>
  <si>
    <t xml:space="preserve">31324</t>
  </si>
  <si>
    <t xml:space="preserve">Metro Liquor</t>
  </si>
  <si>
    <t xml:space="preserve">Metro Liquor - Kennesaw</t>
  </si>
  <si>
    <t xml:space="preserve">1200 Ernest W Barrett Pkwy NW</t>
  </si>
  <si>
    <t xml:space="preserve">30144</t>
  </si>
  <si>
    <t xml:space="preserve">Prohibition Liquor and Wine</t>
  </si>
  <si>
    <t xml:space="preserve">Prohibition Liquor and Wine - Smyrna</t>
  </si>
  <si>
    <t xml:space="preserve">3150 Highlands Pkwy SE</t>
  </si>
  <si>
    <t xml:space="preserve">Smyrna</t>
  </si>
  <si>
    <t xml:space="preserve">30082</t>
  </si>
  <si>
    <t xml:space="preserve">Shannon Beverage Warehouse #34</t>
  </si>
  <si>
    <t xml:space="preserve">Shannon Beverage Warehouse #34 - Union City</t>
  </si>
  <si>
    <t xml:space="preserve">6900 Londonderry Way</t>
  </si>
  <si>
    <t xml:space="preserve">Union City</t>
  </si>
  <si>
    <t xml:space="preserve">30291</t>
  </si>
  <si>
    <t xml:space="preserve">Smyrna Cobb Package</t>
  </si>
  <si>
    <t xml:space="preserve">Smyrna Cobb Package - Smyrna</t>
  </si>
  <si>
    <t xml:space="preserve">3181 South Cobb Drive</t>
  </si>
  <si>
    <t xml:space="preserve">30080</t>
  </si>
  <si>
    <t xml:space="preserve">Twenty Nine Package #4</t>
  </si>
  <si>
    <t xml:space="preserve">Twenty Nine Package #4 - Lilburn</t>
  </si>
  <si>
    <t xml:space="preserve">4132 Lawrenceville Hwy</t>
  </si>
  <si>
    <t xml:space="preserve">Lilburn</t>
  </si>
  <si>
    <t xml:space="preserve">30047</t>
  </si>
  <si>
    <t xml:space="preserve">USA Package Store #2</t>
  </si>
  <si>
    <t xml:space="preserve">USA Package Store #2 - Conyers</t>
  </si>
  <si>
    <t xml:space="preserve">1116 WEST AVENUE SW</t>
  </si>
  <si>
    <t xml:space="preserve">30012</t>
  </si>
  <si>
    <t xml:space="preserve">Trophy Wine and Spirits</t>
  </si>
  <si>
    <t xml:space="preserve">Trophy Wine and Spirits - Scott City</t>
  </si>
  <si>
    <t xml:space="preserve">316 MAIN STREET</t>
  </si>
  <si>
    <t xml:space="preserve">Scott City</t>
  </si>
  <si>
    <t xml:space="preserve">67871</t>
  </si>
  <si>
    <t xml:space="preserve">Bubbles Wine &amp; Spirits</t>
  </si>
  <si>
    <t xml:space="preserve">Bubbles Wine &amp; Spirits - Gladstone</t>
  </si>
  <si>
    <t xml:space="preserve">7407 N Oak Trafficway</t>
  </si>
  <si>
    <t xml:space="preserve">Gladstone</t>
  </si>
  <si>
    <t xml:space="preserve">64118</t>
  </si>
  <si>
    <t xml:space="preserve">Vincent's 12th Street Market</t>
  </si>
  <si>
    <t xml:space="preserve">Vincent's 12th Street Market - St. Louis</t>
  </si>
  <si>
    <t xml:space="preserve">2400 S 12th St</t>
  </si>
  <si>
    <t xml:space="preserve">63104</t>
  </si>
  <si>
    <t xml:space="preserve">Abc Of Gaston</t>
  </si>
  <si>
    <t xml:space="preserve">Gaston</t>
  </si>
  <si>
    <t xml:space="preserve">166 N Main St N, Gaston, SC 29053</t>
  </si>
  <si>
    <t xml:space="preserve">ABC of Gaston II</t>
  </si>
  <si>
    <t xml:space="preserve">ChIJicfl9JfA-IgRdCkK5GjRqDg</t>
  </si>
  <si>
    <t xml:space="preserve">Medium - matched location II</t>
  </si>
  <si>
    <t xml:space="preserve">Albright Spirits</t>
  </si>
  <si>
    <t xml:space="preserve">Rock Hill</t>
  </si>
  <si>
    <t xml:space="preserve">233 Albright Rd #102, Rock Hill, SC 29730</t>
  </si>
  <si>
    <t xml:space="preserve">ChIJTatNbGiIVogR3m8P7o3U7t8</t>
  </si>
  <si>
    <t xml:space="preserve">BARRELS AND BOTTLES LLC</t>
  </si>
  <si>
    <t xml:space="preserve">Mount Pleasant</t>
  </si>
  <si>
    <t xml:space="preserve">Blanco, High Proof Reposado</t>
  </si>
  <si>
    <t xml:space="preserve">3377 S Morgans Point Rd #411, Mt Pleasant, SC 29466</t>
  </si>
  <si>
    <t xml:space="preserve">Barrels and Bottles Liquor Store</t>
  </si>
  <si>
    <t xml:space="preserve">ChIJBb9-XZNt_ogRJPmbBxuTB6o</t>
  </si>
  <si>
    <t xml:space="preserve">BOTTLES &amp; BOOZE</t>
  </si>
  <si>
    <t xml:space="preserve">Marion</t>
  </si>
  <si>
    <t xml:space="preserve">2106 US-76, Marion, SC 29571</t>
  </si>
  <si>
    <t xml:space="preserve">ChIJO2r2B_6tqokRi36-aRuKAX8</t>
  </si>
  <si>
    <t xml:space="preserve">BURNT BARREL WINE AND SPIRITS</t>
  </si>
  <si>
    <t xml:space="preserve">Cristalino, High Proof Reposado</t>
  </si>
  <si>
    <t xml:space="preserve">235 Village Center Blvd #5, Myrtle Beach, SC 29579</t>
  </si>
  <si>
    <t xml:space="preserve">Burnt Barrel Wine &amp; Spirits</t>
  </si>
  <si>
    <t xml:space="preserve">ChIJAZbzCLpvAIkRXq53tE-lzrQ</t>
  </si>
  <si>
    <t xml:space="preserve">Brian Package Store</t>
  </si>
  <si>
    <t xml:space="preserve">Orangeburg</t>
  </si>
  <si>
    <t xml:space="preserve">Reposado, High Proof Reposado</t>
  </si>
  <si>
    <t xml:space="preserve">1091 Five Chop Rd, Orangeburg, SC 29115</t>
  </si>
  <si>
    <t xml:space="preserve">BRIAN'S PACKAGE STORE</t>
  </si>
  <si>
    <t xml:space="preserve">ChIJveUgEjnV-IgR7nNcgotPNZQ</t>
  </si>
  <si>
    <t xml:space="preserve">Creekville Spirits II</t>
  </si>
  <si>
    <t xml:space="preserve">Summerville</t>
  </si>
  <si>
    <t xml:space="preserve">1724 State Rd, Summerville, SC 29483</t>
  </si>
  <si>
    <t xml:space="preserve">Creekville Spirits</t>
  </si>
  <si>
    <t xml:space="preserve">ChIJmcFgErz1_ogRj3aG08ncmBA</t>
  </si>
  <si>
    <t xml:space="preserve">Low - matched original store, not II</t>
  </si>
  <si>
    <t xml:space="preserve">HARVARD'S LIQUOR &amp; WINE DBA FAIRVIEW SPIRITS LLC</t>
  </si>
  <si>
    <t xml:space="preserve">Simpsonville</t>
  </si>
  <si>
    <t xml:space="preserve">655 Fairview Rd Ste C-1, Simpsonville, SC 29680</t>
  </si>
  <si>
    <t xml:space="preserve">Harvard's Liquor &amp; Wine</t>
  </si>
  <si>
    <t xml:space="preserve">ChIJW7FYJyonWIgRd1djOe7Iz2g</t>
  </si>
  <si>
    <t xml:space="preserve">HERITAGE LIQUOR(SC)</t>
  </si>
  <si>
    <t xml:space="preserve">West Columbia</t>
  </si>
  <si>
    <t xml:space="preserve">679 Main St, West Columbia, SC 29170</t>
  </si>
  <si>
    <t xml:space="preserve">Heritage Liquor</t>
  </si>
  <si>
    <t xml:space="preserve">ChIJFRbLm0q_-IgRaVq-T5ykWxM</t>
  </si>
  <si>
    <t xml:space="preserve">IKE'S Liquor Store</t>
  </si>
  <si>
    <t xml:space="preserve">Greenville</t>
  </si>
  <si>
    <t xml:space="preserve">528 Mills Ave, Greenville, SC 29605</t>
  </si>
  <si>
    <t xml:space="preserve">Ike's Food Mart</t>
  </si>
  <si>
    <t xml:space="preserve">ChIJIyU7KUAwWIgRRv1PRhhJi9Y</t>
  </si>
  <si>
    <t xml:space="preserve">Low - partial name match, verify before publishing</t>
  </si>
  <si>
    <t xml:space="preserve">IRMO LIQUOR</t>
  </si>
  <si>
    <t xml:space="preserve">Irmo</t>
  </si>
  <si>
    <t xml:space="preserve">JK LIQUOR(SC)</t>
  </si>
  <si>
    <t xml:space="preserve">JK S Liquor Store</t>
  </si>
  <si>
    <t xml:space="preserve">Blacksburg</t>
  </si>
  <si>
    <t xml:space="preserve">KIAWAH SPIRITS</t>
  </si>
  <si>
    <t xml:space="preserve">Kiawah Island</t>
  </si>
  <si>
    <t xml:space="preserve">KILLIAN WINE &amp; SPIRITS</t>
  </si>
  <si>
    <t xml:space="preserve">Reposado, Cristalino</t>
  </si>
  <si>
    <t xml:space="preserve">KINGS BEVERAGE</t>
  </si>
  <si>
    <t xml:space="preserve">LAILS LIQUORS</t>
  </si>
  <si>
    <t xml:space="preserve">Saint Stephen</t>
  </si>
  <si>
    <t xml:space="preserve">LIQUOR LAND (Hwy 76)</t>
  </si>
  <si>
    <t xml:space="preserve">LIQUOR XPRESS #7</t>
  </si>
  <si>
    <t xml:space="preserve">Walhalla</t>
  </si>
  <si>
    <t xml:space="preserve">Lake Wylie Liquor - LD</t>
  </si>
  <si>
    <t xml:space="preserve">Clover</t>
  </si>
  <si>
    <t xml:space="preserve">Liquormart 1</t>
  </si>
  <si>
    <t xml:space="preserve">Blythewood</t>
  </si>
  <si>
    <t xml:space="preserve">Low Country Liquors &amp; Spirits</t>
  </si>
  <si>
    <t xml:space="preserve">Bluffton</t>
  </si>
  <si>
    <t xml:space="preserve">MARKET PLACE SPIRITS</t>
  </si>
  <si>
    <t xml:space="preserve">Sumter</t>
  </si>
  <si>
    <t xml:space="preserve">Micky Finns - Pamplico</t>
  </si>
  <si>
    <t xml:space="preserve">Florence</t>
  </si>
  <si>
    <t xml:space="preserve">ORANGEBURG WINE AND SPIRITS</t>
  </si>
  <si>
    <t xml:space="preserve">Outpost Liquor</t>
  </si>
  <si>
    <t xml:space="preserve">PEACH GROVES WINES AND SPIRITS 1</t>
  </si>
  <si>
    <t xml:space="preserve">Boiling Springs</t>
  </si>
  <si>
    <t xml:space="preserve">Pick &amp; Save Liquor Store</t>
  </si>
  <si>
    <t xml:space="preserve">RICO'S LIQUOR STORE</t>
  </si>
  <si>
    <t xml:space="preserve">ROEBUCK ABC(SC)</t>
  </si>
  <si>
    <t xml:space="preserve">Roebuck</t>
  </si>
  <si>
    <t xml:space="preserve">ROYAL LIQUOR(SC)</t>
  </si>
  <si>
    <t xml:space="preserve">RT'S LIQUOR</t>
  </si>
  <si>
    <t xml:space="preserve">Royal Liquors</t>
  </si>
  <si>
    <t xml:space="preserve">SUMTER WINE AND SPIRITS (SC)</t>
  </si>
  <si>
    <t xml:space="preserve">Anejo, High Proof Reposado</t>
  </si>
  <si>
    <t xml:space="preserve">Smokers Depot</t>
  </si>
  <si>
    <t xml:space="preserve">York</t>
  </si>
  <si>
    <t xml:space="preserve">Speedee Mart Liquors</t>
  </si>
  <si>
    <t xml:space="preserve">Clinton</t>
  </si>
  <si>
    <t xml:space="preserve">TD'S SPIRIT &amp; WINE</t>
  </si>
  <si>
    <t xml:space="preserve">Seneca</t>
  </si>
  <si>
    <t xml:space="preserve">TONY'S LIQUOR STORE(SC)</t>
  </si>
  <si>
    <t xml:space="preserve">UNIVERSITY WINE &amp; LIQUOR (SC)</t>
  </si>
  <si>
    <t xml:space="preserve">VS LIQUOR</t>
  </si>
  <si>
    <t xml:space="preserve">Dillion</t>
  </si>
  <si>
    <t xml:space="preserve">Whistle Stop Spirits</t>
  </si>
  <si>
    <t xml:space="preserve">Central</t>
  </si>
  <si>
    <t xml:space="preserve">Eagle Liquor</t>
  </si>
  <si>
    <t xml:space="preserve">Eagle Liquor - Cleveland</t>
  </si>
  <si>
    <t xml:space="preserve">1800 Dalton Pike</t>
  </si>
  <si>
    <t xml:space="preserve">Cleveland</t>
  </si>
  <si>
    <t xml:space="preserve">37311</t>
  </si>
  <si>
    <t xml:space="preserve">19th Hole Package</t>
  </si>
  <si>
    <t xml:space="preserve">Hereford</t>
  </si>
  <si>
    <t xml:space="preserve">509 Liquors</t>
  </si>
  <si>
    <t xml:space="preserve">Bammel Liquor LLC</t>
  </si>
  <si>
    <t xml:space="preserve">Houston</t>
  </si>
  <si>
    <t xml:space="preserve">Anejo, Cristalino</t>
  </si>
  <si>
    <t xml:space="preserve">Bear Creek Spirits &amp; Wine</t>
  </si>
  <si>
    <t xml:space="preserve">Best Price Liquor</t>
  </si>
  <si>
    <t xml:space="preserve">Abilene</t>
  </si>
  <si>
    <t xml:space="preserve">Black Jack Package Store</t>
  </si>
  <si>
    <t xml:space="preserve">Cumby</t>
  </si>
  <si>
    <t xml:space="preserve">Goody Goody #19</t>
  </si>
  <si>
    <t xml:space="preserve">Longview</t>
  </si>
  <si>
    <t xml:space="preserve">H and H Beverage Liquor Beer and Wine</t>
  </si>
  <si>
    <t xml:space="preserve">Legacy Liquor &amp; Wine</t>
  </si>
  <si>
    <t xml:space="preserve">Liquor 101</t>
  </si>
  <si>
    <t xml:space="preserve">Alamo</t>
  </si>
  <si>
    <t xml:space="preserve">Liquor Depot (KMY) Arlington (AT&amp;T)</t>
  </si>
  <si>
    <t xml:space="preserve">Liquor Depot (KMY) Bedford</t>
  </si>
  <si>
    <t xml:space="preserve">Liquor Depot (KMY) Venus</t>
  </si>
  <si>
    <t xml:space="preserve">Venus</t>
  </si>
  <si>
    <t xml:space="preserve">Liquor King #5</t>
  </si>
  <si>
    <t xml:space="preserve">Liquor King #6 Frisco</t>
  </si>
  <si>
    <t xml:space="preserve">Frisco</t>
  </si>
  <si>
    <t xml:space="preserve">Liquor Mart (Allen Exchange)</t>
  </si>
  <si>
    <t xml:space="preserve">Allen</t>
  </si>
  <si>
    <t xml:space="preserve">Little York Liquor</t>
  </si>
  <si>
    <t xml:space="preserve">Lone Star Liquors (San Angelo)</t>
  </si>
  <si>
    <t xml:space="preserve">San Angelo</t>
  </si>
  <si>
    <t xml:space="preserve">Party Stop # 1</t>
  </si>
  <si>
    <t xml:space="preserve">Pokey's Liquors</t>
  </si>
  <si>
    <t xml:space="preserve">Primo's Liquor &amp; More</t>
  </si>
  <si>
    <t xml:space="preserve">Spec's #002 Westheimer at Kirkwood</t>
  </si>
  <si>
    <t xml:space="preserve">Spec's #008 Katy - Mason</t>
  </si>
  <si>
    <t xml:space="preserve">Katy</t>
  </si>
  <si>
    <t xml:space="preserve">Spec's #023 Galleria</t>
  </si>
  <si>
    <t xml:space="preserve">Spec's #110 San Antonio - The Vineyard</t>
  </si>
  <si>
    <t xml:space="preserve">Spec's #114 San Marcos</t>
  </si>
  <si>
    <t xml:space="preserve">San Marcos</t>
  </si>
  <si>
    <t xml:space="preserve">Spec's #128 Addison</t>
  </si>
  <si>
    <t xml:space="preserve">Addison</t>
  </si>
  <si>
    <t xml:space="preserve">Spec's #143 Sherman</t>
  </si>
  <si>
    <t xml:space="preserve">Sherman</t>
  </si>
  <si>
    <t xml:space="preserve">Spec's #156 Marsh Lane</t>
  </si>
  <si>
    <t xml:space="preserve">Spec's #208 El Paso Eastlake</t>
  </si>
  <si>
    <t xml:space="preserve">TEJAS LIQUOR #11</t>
  </si>
  <si>
    <t xml:space="preserve">Richmond</t>
  </si>
  <si>
    <t xml:space="preserve">TOCO LIQUOR PACKAGE STORE</t>
  </si>
  <si>
    <t xml:space="preserve">Toco</t>
  </si>
  <si>
    <t xml:space="preserve">Uno Mas Liquor #122</t>
  </si>
  <si>
    <t xml:space="preserve">Uptown Liquor 4</t>
  </si>
  <si>
    <t xml:space="preserve">Liberty Hill</t>
  </si>
  <si>
    <t xml:space="preserve">Uptown Liquor 5</t>
  </si>
  <si>
    <t xml:space="preserve">Jarrell</t>
  </si>
  <si>
    <t xml:space="preserve">WB Liquors #143</t>
  </si>
  <si>
    <t xml:space="preserve">WB Liquors #143_2</t>
  </si>
  <si>
    <t xml:space="preserve">Floresville</t>
  </si>
  <si>
    <t xml:space="preserve">WB Liquors #76</t>
  </si>
  <si>
    <t xml:space="preserve">WB Liquors #79</t>
  </si>
  <si>
    <t xml:space="preserve">WB Liquors #82</t>
  </si>
  <si>
    <t xml:space="preserve">WB Liquors #92</t>
  </si>
  <si>
    <t xml:space="preserve">HYVEE - Janesville</t>
  </si>
  <si>
    <t xml:space="preserve">WI</t>
  </si>
  <si>
    <t xml:space="preserve">Wisconsin market (supplier portal)</t>
  </si>
  <si>
    <t xml:space="preserve">Wisconsin</t>
  </si>
  <si>
    <t xml:space="preserve">Name only</t>
  </si>
  <si>
    <t xml:space="preserve">Casa_Mexico_depletions_July_2026_WI.xlsx</t>
  </si>
  <si>
    <t xml:space="preserve">Metcalfe's Tosa</t>
  </si>
  <si>
    <t xml:space="preserve">Blanco, Anejo, Cristalino</t>
  </si>
  <si>
    <t xml:space="preserve">Shogun Japanese Restaurant #27925</t>
  </si>
  <si>
    <t xml:space="preserve">Shogun Japanese Restaurant #27925 - Richmond Hill</t>
  </si>
  <si>
    <t xml:space="preserve">9701 Ford Ave Ste 101</t>
  </si>
  <si>
    <t xml:space="preserve">MIDLANDS BOTTLING</t>
  </si>
  <si>
    <t xml:space="preserve">Majestic Wine And Liquor</t>
  </si>
  <si>
    <t xml:space="preserve">Elyson Liquor &amp; Fine Wines</t>
  </si>
  <si>
    <t xml:space="preserve">Cypress</t>
  </si>
  <si>
    <t xml:space="preserve">Star Liquor (Greenhouse)</t>
  </si>
  <si>
    <t xml:space="preserve">I-75 LIQUOR</t>
  </si>
  <si>
    <t xml:space="preserve">Bushnell</t>
  </si>
  <si>
    <t xml:space="preserve">Bottoms Up Liquor</t>
  </si>
  <si>
    <t xml:space="preserve">4986 Roe Boulevard</t>
  </si>
  <si>
    <t xml:space="preserve">Roeland Park</t>
  </si>
  <si>
    <t xml:space="preserve">66205</t>
  </si>
  <si>
    <t xml:space="preserve">Spec's #071 Weslayan</t>
  </si>
  <si>
    <t xml:space="preserve">Spec's #124 Tomball Parkway</t>
  </si>
  <si>
    <t xml:space="preserve">Tomball</t>
  </si>
  <si>
    <t xml:space="preserve">Spec's #154 Fort Worth - Hulen</t>
  </si>
  <si>
    <t xml:space="preserve">Spec's #190 Renner Road</t>
  </si>
  <si>
    <t xml:space="preserve">Plano</t>
  </si>
  <si>
    <t xml:space="preserve">Hillsboro Liquors</t>
  </si>
  <si>
    <t xml:space="preserve">Coconut Creek</t>
  </si>
  <si>
    <t xml:space="preserve">Gomer's Fine Wine &amp; Spirits</t>
  </si>
  <si>
    <t xml:space="preserve">Gomer's Fine Wine &amp; Spirits - Kcmo_2</t>
  </si>
  <si>
    <t xml:space="preserve">1606 W 75th St</t>
  </si>
  <si>
    <t xml:space="preserve">Kcmo</t>
  </si>
  <si>
    <t xml:space="preserve">64114</t>
  </si>
  <si>
    <t xml:space="preserve">Spec's #108 Angleton</t>
  </si>
  <si>
    <t xml:space="preserve">Angleton</t>
  </si>
  <si>
    <t xml:space="preserve">Spec's #197 Rector Drive</t>
  </si>
  <si>
    <t xml:space="preserve">Spec's #205 Gateway Blvd</t>
  </si>
  <si>
    <t xml:space="preserve">Spec's #209 Keller</t>
  </si>
  <si>
    <t xml:space="preserve">Keller</t>
  </si>
  <si>
    <t xml:space="preserve">Total Wine #532</t>
  </si>
  <si>
    <t xml:space="preserve">Total Wine #532_2</t>
  </si>
  <si>
    <t xml:space="preserve">Harry'S Wine &amp; Spirits Two</t>
  </si>
  <si>
    <t xml:space="preserve">5200 North Lee Hwy.</t>
  </si>
  <si>
    <t xml:space="preserve">37312</t>
  </si>
  <si>
    <t xml:space="preserve">Woodman's Market Waukesha #40</t>
  </si>
  <si>
    <t xml:space="preserve">Barrel Brothers Liquor</t>
  </si>
  <si>
    <t xml:space="preserve">Barrel Brothers Liquor - Pueblo</t>
  </si>
  <si>
    <t xml:space="preserve">2716 S Prairie Ave</t>
  </si>
  <si>
    <t xml:space="preserve">Pueblo</t>
  </si>
  <si>
    <t xml:space="preserve">81005</t>
  </si>
  <si>
    <t xml:space="preserve">Beer Barn II</t>
  </si>
  <si>
    <t xml:space="preserve">Beer Barn II - Montrose</t>
  </si>
  <si>
    <t xml:space="preserve">1001 E Main St</t>
  </si>
  <si>
    <t xml:space="preserve">Montrose</t>
  </si>
  <si>
    <t xml:space="preserve">81401</t>
  </si>
  <si>
    <t xml:space="preserve">Big Bear Wine &amp; Liquor, Inc.</t>
  </si>
  <si>
    <t xml:space="preserve">Big Bear Wine &amp; Liquor, Inc. - Pueblo_2</t>
  </si>
  <si>
    <t xml:space="preserve">2037 S Pueblo Blvd</t>
  </si>
  <si>
    <t xml:space="preserve">Big Liquor Warehouse</t>
  </si>
  <si>
    <t xml:space="preserve">Big Liquor Warehouse - Aurora_4</t>
  </si>
  <si>
    <t xml:space="preserve">100 S Abilene St Unit A</t>
  </si>
  <si>
    <t xml:space="preserve">80012</t>
  </si>
  <si>
    <t xml:space="preserve">Clifton Liquors Drive Thru</t>
  </si>
  <si>
    <t xml:space="preserve">Clifton Liquors Drive Thru - Clifton</t>
  </si>
  <si>
    <t xml:space="preserve">3255 F Rd</t>
  </si>
  <si>
    <t xml:space="preserve">Cripple Creek Liquor</t>
  </si>
  <si>
    <t xml:space="preserve">Cripple Creek Liquor - Cripple Creek</t>
  </si>
  <si>
    <t xml:space="preserve">1073 Teller County Rd 1</t>
  </si>
  <si>
    <t xml:space="preserve">Cripple Creek</t>
  </si>
  <si>
    <t xml:space="preserve">80813</t>
  </si>
  <si>
    <t xml:space="preserve">El Mescal Family Mexican Restaurant &amp; Bar</t>
  </si>
  <si>
    <t xml:space="preserve">El Mescal Family Mexican Restaurant &amp; Bar - Fruita</t>
  </si>
  <si>
    <t xml:space="preserve">439 US-6</t>
  </si>
  <si>
    <t xml:space="preserve">Fruita</t>
  </si>
  <si>
    <t xml:space="preserve">81521</t>
  </si>
  <si>
    <t xml:space="preserve">JJ LIQUOR</t>
  </si>
  <si>
    <t xml:space="preserve">JJ LIQUOR - EDGEWATER</t>
  </si>
  <si>
    <t xml:space="preserve">1711 Sheridan Blvd</t>
  </si>
  <si>
    <t xml:space="preserve">Edgewater</t>
  </si>
  <si>
    <t xml:space="preserve">80214</t>
  </si>
  <si>
    <t xml:space="preserve">Plaza De Santa Fe Liquors</t>
  </si>
  <si>
    <t xml:space="preserve">Plaza De Santa Fe Liquors - Denver</t>
  </si>
  <si>
    <t xml:space="preserve">1355 Santa Fe Dr</t>
  </si>
  <si>
    <t xml:space="preserve">80204</t>
  </si>
  <si>
    <t xml:space="preserve">Southwest Liquor</t>
  </si>
  <si>
    <t xml:space="preserve">Southwest Liquor - Monte Vista_2</t>
  </si>
  <si>
    <t xml:space="preserve">2011 Grand Ave</t>
  </si>
  <si>
    <t xml:space="preserve">Monte Vista</t>
  </si>
  <si>
    <t xml:space="preserve">81144</t>
  </si>
  <si>
    <t xml:space="preserve">Triple 7 Liquor</t>
  </si>
  <si>
    <t xml:space="preserve">Triple 7 Liquor - Denver</t>
  </si>
  <si>
    <t xml:space="preserve">1685 S Colorado Blvd</t>
  </si>
  <si>
    <t xml:space="preserve">80222</t>
  </si>
  <si>
    <t xml:space="preserve">Uno Dos Tres Tacos &amp; Tequila</t>
  </si>
  <si>
    <t xml:space="preserve">Uno Dos Tres Tacos &amp; Tequila - Telluride</t>
  </si>
  <si>
    <t xml:space="preserve">123 S Oak St</t>
  </si>
  <si>
    <t xml:space="preserve">Telluride</t>
  </si>
  <si>
    <t xml:space="preserve">81435</t>
  </si>
  <si>
    <t xml:space="preserve">A+ Liquor Store/G &amp; H Liquor</t>
  </si>
  <si>
    <t xml:space="preserve">Miami</t>
  </si>
  <si>
    <t xml:space="preserve">Davenport Wines and Spirits</t>
  </si>
  <si>
    <t xml:space="preserve">Davenport</t>
  </si>
  <si>
    <t xml:space="preserve">448 Moreland Ave NE #448</t>
  </si>
  <si>
    <t xml:space="preserve">448 Moreland Ave NE #448 - Atlanta</t>
  </si>
  <si>
    <t xml:space="preserve">448 Moreland Ave NE</t>
  </si>
  <si>
    <t xml:space="preserve">30307</t>
  </si>
  <si>
    <t xml:space="preserve">4866 Jonesboro Rd</t>
  </si>
  <si>
    <t xml:space="preserve">4866 Jonesboro Rd - Forest Park</t>
  </si>
  <si>
    <t xml:space="preserve">ABC LIQUOR-WAREHOUSE</t>
  </si>
  <si>
    <t xml:space="preserve">ABC LIQUOR-WAREHOUSE - Savannah</t>
  </si>
  <si>
    <t xml:space="preserve">1100 Eisenhower Dr</t>
  </si>
  <si>
    <t xml:space="preserve">31406</t>
  </si>
  <si>
    <t xml:space="preserve">ABC Package Store</t>
  </si>
  <si>
    <t xml:space="preserve">ABC Package Store - Decatur</t>
  </si>
  <si>
    <t xml:space="preserve">4278 Covington Hwy</t>
  </si>
  <si>
    <t xml:space="preserve">Bainbridge Bottle Shop, LLC</t>
  </si>
  <si>
    <t xml:space="preserve">Bainbridge Bottle Shop, LLC - Bainbridge</t>
  </si>
  <si>
    <t xml:space="preserve">925 E Shotwell St</t>
  </si>
  <si>
    <t xml:space="preserve">Bainbridge</t>
  </si>
  <si>
    <t xml:space="preserve">39819</t>
  </si>
  <si>
    <t xml:space="preserve">Barrel Town - Fine Wine, Beer &amp; Spirits - Sandy</t>
  </si>
  <si>
    <t xml:space="preserve">6300 Powers Ferry Rd NW</t>
  </si>
  <si>
    <t xml:space="preserve">Sandy Springs</t>
  </si>
  <si>
    <t xml:space="preserve">Big Brockett Package Store</t>
  </si>
  <si>
    <t xml:space="preserve">Big Brockett Package Store - Clarkston</t>
  </si>
  <si>
    <t xml:space="preserve">1345 Brockett Rd</t>
  </si>
  <si>
    <t xml:space="preserve">Clarkston</t>
  </si>
  <si>
    <t xml:space="preserve">30021</t>
  </si>
  <si>
    <t xml:space="preserve">Camp Creek World Of Beverages</t>
  </si>
  <si>
    <t xml:space="preserve">Camp Creek World Of Beverages - Atlanta_2</t>
  </si>
  <si>
    <t xml:space="preserve">3780 PRINCETON LAKES</t>
  </si>
  <si>
    <t xml:space="preserve">30331</t>
  </si>
  <si>
    <t xml:space="preserve">Drive Thru Package</t>
  </si>
  <si>
    <t xml:space="preserve">Drive Thru Package - Decatur</t>
  </si>
  <si>
    <t xml:space="preserve">4091 Glenwood Rd</t>
  </si>
  <si>
    <t xml:space="preserve">Five Points Fine Wine &amp; Spirits</t>
  </si>
  <si>
    <t xml:space="preserve">Five Points Fine Wine &amp; Spirits - Valdosta</t>
  </si>
  <si>
    <t xml:space="preserve">4143 N. Valdosta Road</t>
  </si>
  <si>
    <t xml:space="preserve">Gary's Wine &amp; More</t>
  </si>
  <si>
    <t xml:space="preserve">Gary's Wine &amp; More - Cumming</t>
  </si>
  <si>
    <t xml:space="preserve">3010 RIVER CLUB DRIVE</t>
  </si>
  <si>
    <t xml:space="preserve">Cumming</t>
  </si>
  <si>
    <t xml:space="preserve">30041</t>
  </si>
  <si>
    <t xml:space="preserve">Green's Beverages - Ponce De Leon #000080 - Atlant</t>
  </si>
  <si>
    <t xml:space="preserve">737 Ponce De Leon Ave NE</t>
  </si>
  <si>
    <t xml:space="preserve">30306</t>
  </si>
  <si>
    <t xml:space="preserve">Hot Spot Liquor</t>
  </si>
  <si>
    <t xml:space="preserve">Hot Spot Liquor - West Point</t>
  </si>
  <si>
    <t xml:space="preserve">1001 KIA PARKWAY</t>
  </si>
  <si>
    <t xml:space="preserve">West Point</t>
  </si>
  <si>
    <t xml:space="preserve">31833</t>
  </si>
  <si>
    <t xml:space="preserve">Infinity Beverage</t>
  </si>
  <si>
    <t xml:space="preserve">Infinity Beverage - Roswell</t>
  </si>
  <si>
    <t xml:space="preserve">11245 Woodstock Rd</t>
  </si>
  <si>
    <t xml:space="preserve">Roswell</t>
  </si>
  <si>
    <t xml:space="preserve">30075</t>
  </si>
  <si>
    <t xml:space="preserve">JAXX Beverage Superstore Conyers</t>
  </si>
  <si>
    <t xml:space="preserve">JAXX Beverage Superstore Conyers - Conyers</t>
  </si>
  <si>
    <t xml:space="preserve">1927 HIGHWAY 138 NE</t>
  </si>
  <si>
    <t xml:space="preserve">Kenny 18 Bottle Shop</t>
  </si>
  <si>
    <t xml:space="preserve">Kenny 18 Bottle Shop - Atlanta</t>
  </si>
  <si>
    <t xml:space="preserve">1989 HOSEA L WILLIAMS DR SE STE C</t>
  </si>
  <si>
    <t xml:space="preserve">30317</t>
  </si>
  <si>
    <t xml:space="preserve">Lake Liquors</t>
  </si>
  <si>
    <t xml:space="preserve">Lake Liquors - Gainesville</t>
  </si>
  <si>
    <t xml:space="preserve">7395 Browns Bridge Rd</t>
  </si>
  <si>
    <t xml:space="preserve">Gainesville</t>
  </si>
  <si>
    <t xml:space="preserve">30506</t>
  </si>
  <si>
    <t xml:space="preserve">Liquorland Warehouse #26712</t>
  </si>
  <si>
    <t xml:space="preserve">Liquorland Warehouse #26712 - Pooler</t>
  </si>
  <si>
    <t xml:space="preserve">100 Zoya Ln Ste 110</t>
  </si>
  <si>
    <t xml:space="preserve">Neurosurgical and Spine Institute of Savannah #212</t>
  </si>
  <si>
    <t xml:space="preserve">4700 US-80</t>
  </si>
  <si>
    <t xml:space="preserve">Nitro 2 Go Beverages</t>
  </si>
  <si>
    <t xml:space="preserve">Nitro 2 Go Beverages - Covington_2</t>
  </si>
  <si>
    <t xml:space="preserve">9135 Dr Martin Luther King Jr Ave</t>
  </si>
  <si>
    <t xml:space="preserve">Covington</t>
  </si>
  <si>
    <t xml:space="preserve">30014</t>
  </si>
  <si>
    <t xml:space="preserve">Oakland Package</t>
  </si>
  <si>
    <t xml:space="preserve">Oakland Package - Leesburg</t>
  </si>
  <si>
    <t xml:space="preserve">1302 US HIGHWAY 82 W</t>
  </si>
  <si>
    <t xml:space="preserve">Leesburg</t>
  </si>
  <si>
    <t xml:space="preserve">31763</t>
  </si>
  <si>
    <t xml:space="preserve">Olde Crabapple Bottle Shoppe #35</t>
  </si>
  <si>
    <t xml:space="preserve">Olde Crabapple Bottle Shoppe #35 - Alpharetta</t>
  </si>
  <si>
    <t xml:space="preserve">12280A HOUZE ROAD</t>
  </si>
  <si>
    <t xml:space="preserve">Alpharetta</t>
  </si>
  <si>
    <t xml:space="preserve">30201</t>
  </si>
  <si>
    <t xml:space="preserve">Parker's Spirits #3001</t>
  </si>
  <si>
    <t xml:space="preserve">Parker's Spirits #3001 - Pooler</t>
  </si>
  <si>
    <t xml:space="preserve">8 N GODLEY STATION BLVD</t>
  </si>
  <si>
    <t xml:space="preserve">Royal Blue Wine &amp; Spirits</t>
  </si>
  <si>
    <t xml:space="preserve">Royal Blue Wine &amp; Spirits - Winder</t>
  </si>
  <si>
    <t xml:space="preserve">321 N Broad St</t>
  </si>
  <si>
    <t xml:space="preserve">Winder</t>
  </si>
  <si>
    <t xml:space="preserve">30680</t>
  </si>
  <si>
    <t xml:space="preserve">Sam's Package</t>
  </si>
  <si>
    <t xml:space="preserve">Sam's Package - Savannah</t>
  </si>
  <si>
    <t xml:space="preserve">5630 OGEECHEE ROAD, STE 1</t>
  </si>
  <si>
    <t xml:space="preserve">31405</t>
  </si>
  <si>
    <t xml:space="preserve">Smyrna World Of Beverages</t>
  </si>
  <si>
    <t xml:space="preserve">Smyrna World Of Beverages - Smyrna</t>
  </si>
  <si>
    <t xml:space="preserve">4474 S COBB DRIVE SE</t>
  </si>
  <si>
    <t xml:space="preserve">Strong Water Liquor Warehouse</t>
  </si>
  <si>
    <t xml:space="preserve">Strong Water Liquor Warehouse - Lilburn</t>
  </si>
  <si>
    <t xml:space="preserve">5722 Lawrenceville Hwy</t>
  </si>
  <si>
    <t xml:space="preserve">Sunny's Liquor Emporium</t>
  </si>
  <si>
    <t xml:space="preserve">Sunny's Liquor Emporium - Fayetteville</t>
  </si>
  <si>
    <t xml:space="preserve">110 YORKTOWN DRIVE</t>
  </si>
  <si>
    <t xml:space="preserve">Taco Man</t>
  </si>
  <si>
    <t xml:space="preserve">Taco Man - Cedartown</t>
  </si>
  <si>
    <t xml:space="preserve">325 N Main St</t>
  </si>
  <si>
    <t xml:space="preserve">Cedartown</t>
  </si>
  <si>
    <t xml:space="preserve">30125</t>
  </si>
  <si>
    <t xml:space="preserve">Tipsy Liquor and Wine</t>
  </si>
  <si>
    <t xml:space="preserve">Tipsy Liquor and Wine - Columbus</t>
  </si>
  <si>
    <t xml:space="preserve">5211 MOON RD UNIT A</t>
  </si>
  <si>
    <t xml:space="preserve">Tuxedo Wine &amp; Spirits</t>
  </si>
  <si>
    <t xml:space="preserve">Tuxedo Wine &amp; Spirits - Atlanta</t>
  </si>
  <si>
    <t xml:space="preserve">3906 Roswell Road NE Ste 128-A</t>
  </si>
  <si>
    <t xml:space="preserve">30342</t>
  </si>
  <si>
    <t xml:space="preserve">bp</t>
  </si>
  <si>
    <t xml:space="preserve">bp - Alto</t>
  </si>
  <si>
    <t xml:space="preserve">3834 HIGHWAY 365</t>
  </si>
  <si>
    <t xml:space="preserve">Alto</t>
  </si>
  <si>
    <t xml:space="preserve">30510</t>
  </si>
  <si>
    <t xml:space="preserve">Bohannon's Liquor and Cigars</t>
  </si>
  <si>
    <t xml:space="preserve">Bohannon's Liquor and Cigars - Basehor</t>
  </si>
  <si>
    <t xml:space="preserve">15518 PINEHURST DRIVE</t>
  </si>
  <si>
    <t xml:space="preserve">Basehor</t>
  </si>
  <si>
    <t xml:space="preserve">66012</t>
  </si>
  <si>
    <t xml:space="preserve">Brenneman Retail Liquor</t>
  </si>
  <si>
    <t xml:space="preserve">Brenneman Retail Liquor - Wichita</t>
  </si>
  <si>
    <t xml:space="preserve">2710 S Seneca St</t>
  </si>
  <si>
    <t xml:space="preserve">67217</t>
  </si>
  <si>
    <t xml:space="preserve">Liquor Xpress 2 Edwardsville</t>
  </si>
  <si>
    <t xml:space="preserve">9701 Kaw Drive</t>
  </si>
  <si>
    <t xml:space="preserve">Edwardsville</t>
  </si>
  <si>
    <t xml:space="preserve">66111</t>
  </si>
  <si>
    <t xml:space="preserve">Mike's Discount Liquor</t>
  </si>
  <si>
    <t xml:space="preserve">Mike's Discount Liquor - Kansas City</t>
  </si>
  <si>
    <t xml:space="preserve">1320 Merriam Ln</t>
  </si>
  <si>
    <t xml:space="preserve">Kansas City</t>
  </si>
  <si>
    <t xml:space="preserve">66103</t>
  </si>
  <si>
    <t xml:space="preserve">Premier Liquor</t>
  </si>
  <si>
    <t xml:space="preserve">Premier Liquor - Holcomb</t>
  </si>
  <si>
    <t xml:space="preserve">301 JONES AVE</t>
  </si>
  <si>
    <t xml:space="preserve">Holcomb</t>
  </si>
  <si>
    <t xml:space="preserve">67851</t>
  </si>
  <si>
    <t xml:space="preserve">Cristalino</t>
  </si>
  <si>
    <t xml:space="preserve">Tom's Wine &amp; Spirits</t>
  </si>
  <si>
    <t xml:space="preserve">Tom's Wine &amp; Spirits - Wichita</t>
  </si>
  <si>
    <t xml:space="preserve">133 E 47th St S</t>
  </si>
  <si>
    <t xml:space="preserve">67216</t>
  </si>
  <si>
    <t xml:space="preserve">ROYALS LIQUOR FLORISSANT</t>
  </si>
  <si>
    <t xml:space="preserve">ROYALS LIQUOR FLORISSANT - Florissant</t>
  </si>
  <si>
    <t xml:space="preserve">490 Howdershell Road</t>
  </si>
  <si>
    <t xml:space="preserve">Florissant</t>
  </si>
  <si>
    <t xml:space="preserve">63031</t>
  </si>
  <si>
    <t xml:space="preserve">AAA AIRPORT LIQUORS(SC)</t>
  </si>
  <si>
    <t xml:space="preserve">ABC Liquor Store (West Columbia)</t>
  </si>
  <si>
    <t xml:space="preserve">DEV LIQUORS SUMMERVILLE</t>
  </si>
  <si>
    <t xml:space="preserve">EAGLES LIQUOR Boiling Springs</t>
  </si>
  <si>
    <t xml:space="preserve">Express Beverage</t>
  </si>
  <si>
    <t xml:space="preserve">Greens Bev Greenville</t>
  </si>
  <si>
    <t xml:space="preserve">Jimmys Liquors &amp; Wine</t>
  </si>
  <si>
    <t xml:space="preserve">KAHUNA LIQUORS</t>
  </si>
  <si>
    <t xml:space="preserve">Owens Liquors - LD</t>
  </si>
  <si>
    <t xml:space="preserve">Racks Bottleshop</t>
  </si>
  <si>
    <t xml:space="preserve">Admiral Wine &amp; Spirits</t>
  </si>
  <si>
    <t xml:space="preserve">2081 Willow Loop Way</t>
  </si>
  <si>
    <t xml:space="preserve">Knoxville</t>
  </si>
  <si>
    <t xml:space="preserve">37922</t>
  </si>
  <si>
    <t xml:space="preserve">Foothill Plaza Wine And Spirits</t>
  </si>
  <si>
    <t xml:space="preserve">502 N. Foothill Plaza Drive</t>
  </si>
  <si>
    <t xml:space="preserve">Maryville</t>
  </si>
  <si>
    <t xml:space="preserve">37801</t>
  </si>
  <si>
    <t xml:space="preserve">Hamilton Liquor</t>
  </si>
  <si>
    <t xml:space="preserve">2288 Gunbarrel Rd</t>
  </si>
  <si>
    <t xml:space="preserve">Chattanooga</t>
  </si>
  <si>
    <t xml:space="preserve">37421</t>
  </si>
  <si>
    <t xml:space="preserve">Hilltop Bottle Shop</t>
  </si>
  <si>
    <t xml:space="preserve">6032 Hwy 153</t>
  </si>
  <si>
    <t xml:space="preserve">Hixson</t>
  </si>
  <si>
    <t xml:space="preserve">37343</t>
  </si>
  <si>
    <t xml:space="preserve">J J 'S</t>
  </si>
  <si>
    <t xml:space="preserve">4202 Rossville Blvd</t>
  </si>
  <si>
    <t xml:space="preserve">37407</t>
  </si>
  <si>
    <t xml:space="preserve">Mcscrooge'S Wine &amp; Spirits</t>
  </si>
  <si>
    <t xml:space="preserve">307 N. Peters Rd.</t>
  </si>
  <si>
    <t xml:space="preserve">Park Liquor</t>
  </si>
  <si>
    <t xml:space="preserve">1235 East Parkway</t>
  </si>
  <si>
    <t xml:space="preserve">Gatlinburg</t>
  </si>
  <si>
    <t xml:space="preserve">37738</t>
  </si>
  <si>
    <t xml:space="preserve">Plaza Package Store</t>
  </si>
  <si>
    <t xml:space="preserve">4471 N. Roan St.</t>
  </si>
  <si>
    <t xml:space="preserve">Johnson City</t>
  </si>
  <si>
    <t xml:space="preserve">37615</t>
  </si>
  <si>
    <t xml:space="preserve">Riverside Wine &amp; Spirits</t>
  </si>
  <si>
    <t xml:space="preserve">600 Manufacturers Rd.</t>
  </si>
  <si>
    <t xml:space="preserve">37405</t>
  </si>
  <si>
    <t xml:space="preserve">Sharps Package Store</t>
  </si>
  <si>
    <t xml:space="preserve">1451 North Broad Street</t>
  </si>
  <si>
    <t xml:space="preserve">Tazewell</t>
  </si>
  <si>
    <t xml:space="preserve">37879</t>
  </si>
  <si>
    <t xml:space="preserve">Snow Hill Wine And Spirits</t>
  </si>
  <si>
    <t xml:space="preserve">5958 Snowhill Road</t>
  </si>
  <si>
    <t xml:space="preserve">Ooltewah</t>
  </si>
  <si>
    <t xml:space="preserve">37363</t>
  </si>
  <si>
    <t xml:space="preserve">Toddy'S Liquor Store</t>
  </si>
  <si>
    <t xml:space="preserve">4821 Kingston Pike</t>
  </si>
  <si>
    <t xml:space="preserve">37919</t>
  </si>
  <si>
    <t xml:space="preserve">Top Shelf Wine &amp; Spirits</t>
  </si>
  <si>
    <t xml:space="preserve">1764 Buffalo Trail</t>
  </si>
  <si>
    <t xml:space="preserve">Morristown</t>
  </si>
  <si>
    <t xml:space="preserve">37814</t>
  </si>
  <si>
    <t xml:space="preserve">Valley Wine &amp; Spirits</t>
  </si>
  <si>
    <t xml:space="preserve">3548 Cummings Highway</t>
  </si>
  <si>
    <t xml:space="preserve">37419</t>
  </si>
  <si>
    <t xml:space="preserve">BOOM OR BUST LIQUORS</t>
  </si>
  <si>
    <t xml:space="preserve">Midland</t>
  </si>
  <si>
    <t xml:space="preserve">Barrel Craft Lewisville</t>
  </si>
  <si>
    <t xml:space="preserve">Lewisville</t>
  </si>
  <si>
    <t xml:space="preserve">Big Bottle Liquor Store #2</t>
  </si>
  <si>
    <t xml:space="preserve">Missouri City</t>
  </si>
  <si>
    <t xml:space="preserve">Black Tie Liquors #2</t>
  </si>
  <si>
    <t xml:space="preserve">Aubrey</t>
  </si>
  <si>
    <t xml:space="preserve">Bluebonnet Liquors</t>
  </si>
  <si>
    <t xml:space="preserve">Boo's Beverage Center</t>
  </si>
  <si>
    <t xml:space="preserve">Cheers Wine &amp; Spirits (DFW)</t>
  </si>
  <si>
    <t xml:space="preserve">County Line Store LLC</t>
  </si>
  <si>
    <t xml:space="preserve">Canadian</t>
  </si>
  <si>
    <t xml:space="preserve">Crossed Key Package Store</t>
  </si>
  <si>
    <t xml:space="preserve">D &amp; D LIQUOR Store LLC</t>
  </si>
  <si>
    <t xml:space="preserve">Dog House Liquors</t>
  </si>
  <si>
    <t xml:space="preserve">Borger</t>
  </si>
  <si>
    <t xml:space="preserve">Ft Worth Discount Liquor</t>
  </si>
  <si>
    <t xml:space="preserve">GOODNIGHT SPIRITS</t>
  </si>
  <si>
    <t xml:space="preserve">Goody Goody #03</t>
  </si>
  <si>
    <t xml:space="preserve">Goody Goody #09</t>
  </si>
  <si>
    <t xml:space="preserve">Goody Goody #10</t>
  </si>
  <si>
    <t xml:space="preserve">Goody Goody #11</t>
  </si>
  <si>
    <t xml:space="preserve">The Colony</t>
  </si>
  <si>
    <t xml:space="preserve">Goody Goody #14</t>
  </si>
  <si>
    <t xml:space="preserve">Lake Dallas</t>
  </si>
  <si>
    <t xml:space="preserve">Goody Goody #21</t>
  </si>
  <si>
    <t xml:space="preserve">Goody Goody #30</t>
  </si>
  <si>
    <t xml:space="preserve">Goody Goody #40</t>
  </si>
  <si>
    <t xml:space="preserve">Grumpy's Liquor</t>
  </si>
  <si>
    <t xml:space="preserve">Christoval</t>
  </si>
  <si>
    <t xml:space="preserve">Holiday Depot Fine Wines &amp; Spirits</t>
  </si>
  <si>
    <t xml:space="preserve">Bartonville</t>
  </si>
  <si>
    <t xml:space="preserve">Horizon Liquor (Hulen)</t>
  </si>
  <si>
    <t xml:space="preserve">Hunt's Liquor</t>
  </si>
  <si>
    <t xml:space="preserve">I-20 Liquor</t>
  </si>
  <si>
    <t xml:space="preserve">Balch Springs</t>
  </si>
  <si>
    <t xml:space="preserve">I-35 LIQUOR DEPOT (KMY)</t>
  </si>
  <si>
    <t xml:space="preserve">I-35 LIQUOR DEPOT (KMY) - Alvarado</t>
  </si>
  <si>
    <t xml:space="preserve">Alvarado</t>
  </si>
  <si>
    <t xml:space="preserve">LUCKY'S SPIRITS WINE &amp; GIFTS</t>
  </si>
  <si>
    <t xml:space="preserve">Liquor Den (Duncan Perry)</t>
  </si>
  <si>
    <t xml:space="preserve">Liquor Depot (KMY) Ft Worth (Basswood)</t>
  </si>
  <si>
    <t xml:space="preserve">Liquor Depot (KMY) Grand Prairie (Tarrant)</t>
  </si>
  <si>
    <t xml:space="preserve">Liquor Depot (KMY) Hebron</t>
  </si>
  <si>
    <t xml:space="preserve">Hebron</t>
  </si>
  <si>
    <t xml:space="preserve">Liquor Lobby (Splendora)</t>
  </si>
  <si>
    <t xml:space="preserve">Splendora</t>
  </si>
  <si>
    <t xml:space="preserve">Liquor Royale</t>
  </si>
  <si>
    <t xml:space="preserve">Liquorland - Argyle Corral City</t>
  </si>
  <si>
    <t xml:space="preserve">Argyle</t>
  </si>
  <si>
    <t xml:space="preserve">Liquorland - Ft Worth Tarrant</t>
  </si>
  <si>
    <t xml:space="preserve">Liquorland - Watauga Rufe Snow</t>
  </si>
  <si>
    <t xml:space="preserve">Watauga</t>
  </si>
  <si>
    <t xml:space="preserve">Mikey's Liquor Store</t>
  </si>
  <si>
    <t xml:space="preserve">Pampa</t>
  </si>
  <si>
    <t xml:space="preserve">Party Stop # 4</t>
  </si>
  <si>
    <t xml:space="preserve">Party Stop # 6</t>
  </si>
  <si>
    <t xml:space="preserve">Pinkie's #36 (San Angelo)</t>
  </si>
  <si>
    <t xml:space="preserve">Pinkie's #73 (Midland)</t>
  </si>
  <si>
    <t xml:space="preserve">Pinkie's #96 (Amarillo)</t>
  </si>
  <si>
    <t xml:space="preserve">Ralston Discount Liquors #213</t>
  </si>
  <si>
    <t xml:space="preserve">Jacinto City</t>
  </si>
  <si>
    <t xml:space="preserve">Ralston Discount Liquors #233</t>
  </si>
  <si>
    <t xml:space="preserve">Ravis Liquor 5</t>
  </si>
  <si>
    <t xml:space="preserve">Lubbock</t>
  </si>
  <si>
    <t xml:space="preserve">Raymond's Liquor Stop</t>
  </si>
  <si>
    <t xml:space="preserve">Red River Liquor</t>
  </si>
  <si>
    <t xml:space="preserve">Red River Liquor - Denison</t>
  </si>
  <si>
    <t xml:space="preserve">Denison</t>
  </si>
  <si>
    <t xml:space="preserve">River Cut Rate Liquors</t>
  </si>
  <si>
    <t xml:space="preserve">Rustic Star Liquor</t>
  </si>
  <si>
    <t xml:space="preserve">Snyder</t>
  </si>
  <si>
    <t xml:space="preserve">S A S LIQUOR #2</t>
  </si>
  <si>
    <t xml:space="preserve">Huffman</t>
  </si>
  <si>
    <t xml:space="preserve">Sam Liquor</t>
  </si>
  <si>
    <t xml:space="preserve">Seasons Liquor</t>
  </si>
  <si>
    <t xml:space="preserve">Spec's #030 Conroe Loop 336</t>
  </si>
  <si>
    <t xml:space="preserve">Conroe</t>
  </si>
  <si>
    <t xml:space="preserve">Spec's #039 Rosenberg</t>
  </si>
  <si>
    <t xml:space="preserve">Rosenberg</t>
  </si>
  <si>
    <t xml:space="preserve">Spec's #066 Temple</t>
  </si>
  <si>
    <t xml:space="preserve">Temple</t>
  </si>
  <si>
    <t xml:space="preserve">Spec's #084 El Paso East - Zaragoza</t>
  </si>
  <si>
    <t xml:space="preserve">Spec's #100 San Antonio - De Zavala</t>
  </si>
  <si>
    <t xml:space="preserve">Spec's #103 New Road</t>
  </si>
  <si>
    <t xml:space="preserve">Waco</t>
  </si>
  <si>
    <t xml:space="preserve">Spec's #107 Lubbock Slide Road</t>
  </si>
  <si>
    <t xml:space="preserve">Spec's #113 Bandera</t>
  </si>
  <si>
    <t xml:space="preserve">Spec's #142 Fat Dog</t>
  </si>
  <si>
    <t xml:space="preserve">Spec's #142 Fat Dog - Coffee City</t>
  </si>
  <si>
    <t xml:space="preserve">Coffee City</t>
  </si>
  <si>
    <t xml:space="preserve">Spec's #151 Plano West</t>
  </si>
  <si>
    <t xml:space="preserve">Spec's #158 Two Bucks Liquor Store</t>
  </si>
  <si>
    <t xml:space="preserve">Spec's #160 Bryant Irvin</t>
  </si>
  <si>
    <t xml:space="preserve">Spec's #163 The Colony</t>
  </si>
  <si>
    <t xml:space="preserve">Spec's #165 Arlington</t>
  </si>
  <si>
    <t xml:space="preserve">Spec's #168 Little Elm</t>
  </si>
  <si>
    <t xml:space="preserve">Spec's #179 Cedar Park</t>
  </si>
  <si>
    <t xml:space="preserve">Cedar Park</t>
  </si>
  <si>
    <t xml:space="preserve">Spec's #180 Gateway North</t>
  </si>
  <si>
    <t xml:space="preserve">Spec's #187 Terrell</t>
  </si>
  <si>
    <t xml:space="preserve">Spec's #195 Weatherford</t>
  </si>
  <si>
    <t xml:space="preserve">Weatherford</t>
  </si>
  <si>
    <t xml:space="preserve">Summerwood Liquor</t>
  </si>
  <si>
    <t xml:space="preserve">Super 9 Liquor</t>
  </si>
  <si>
    <t xml:space="preserve">Wichita Falls</t>
  </si>
  <si>
    <t xml:space="preserve">TEJAS LIQUOR #12</t>
  </si>
  <si>
    <t xml:space="preserve">Total Wine #507</t>
  </si>
  <si>
    <t xml:space="preserve">Total Wine #535</t>
  </si>
  <si>
    <t xml:space="preserve">Uptown Liquor</t>
  </si>
  <si>
    <t xml:space="preserve">Haker Heights</t>
  </si>
  <si>
    <t xml:space="preserve">WB Liquors #111</t>
  </si>
  <si>
    <t xml:space="preserve">Pearsall</t>
  </si>
  <si>
    <t xml:space="preserve">WB Liquors #120</t>
  </si>
  <si>
    <t xml:space="preserve">Port Aransas</t>
  </si>
  <si>
    <t xml:space="preserve">WB Liquors #121</t>
  </si>
  <si>
    <t xml:space="preserve">Corpus Christi</t>
  </si>
  <si>
    <t xml:space="preserve">WB Liquors #83</t>
  </si>
  <si>
    <t xml:space="preserve">WB Liquors #84</t>
  </si>
  <si>
    <t xml:space="preserve">Horizon City</t>
  </si>
  <si>
    <t xml:space="preserve">LIQUID LIBRARY</t>
  </si>
  <si>
    <t xml:space="preserve">LIQUID LIBRARY - ROME</t>
  </si>
  <si>
    <t xml:space="preserve">672 BRAVES BLVD SUITE 30</t>
  </si>
  <si>
    <t xml:space="preserve">Rome</t>
  </si>
  <si>
    <t xml:space="preserve">30161</t>
  </si>
  <si>
    <t xml:space="preserve">Macadoodles Dardenne Prairie</t>
  </si>
  <si>
    <t xml:space="preserve">Macadoodles Dardenne Prairie - Dardenne Paririe</t>
  </si>
  <si>
    <t xml:space="preserve">1555 Bryan Rd</t>
  </si>
  <si>
    <t xml:space="preserve">Dardenne Paririe</t>
  </si>
  <si>
    <t xml:space="preserve">63366</t>
  </si>
  <si>
    <t xml:space="preserve">MR LIQUOR Socastee</t>
  </si>
  <si>
    <t xml:space="preserve">The Bottle Shop</t>
  </si>
  <si>
    <t xml:space="preserve">The Bottle Shop - Overland Park</t>
  </si>
  <si>
    <t xml:space="preserve">7300 W 80th St</t>
  </si>
  <si>
    <t xml:space="preserve">Overland Park</t>
  </si>
  <si>
    <t xml:space="preserve">66204</t>
  </si>
  <si>
    <t xml:space="preserve">Spec's #095 Georgetown</t>
  </si>
  <si>
    <t xml:space="preserve">Georgetown</t>
  </si>
  <si>
    <t xml:space="preserve">Spec's #178 Citadel</t>
  </si>
  <si>
    <t xml:space="preserve">Spec's #296 AUS Warehouse</t>
  </si>
  <si>
    <t xml:space="preserve">Austin</t>
  </si>
  <si>
    <t xml:space="preserve">Speedway Liquor (DFW)</t>
  </si>
  <si>
    <t xml:space="preserve">Maria Bonita Restaurant</t>
  </si>
  <si>
    <t xml:space="preserve">Maria Bonita Restaurant - Firestone</t>
  </si>
  <si>
    <t xml:space="preserve">8242 Colorado Blvd</t>
  </si>
  <si>
    <t xml:space="preserve">Firestone</t>
  </si>
  <si>
    <t xml:space="preserve">80504</t>
  </si>
  <si>
    <t xml:space="preserve">Liquor hub #37515</t>
  </si>
  <si>
    <t xml:space="preserve">Liquor hub #37515 - Hinesville</t>
  </si>
  <si>
    <t xml:space="preserve">527 W OGLETHORPE HWY</t>
  </si>
  <si>
    <t xml:space="preserve">Hinesville</t>
  </si>
  <si>
    <t xml:space="preserve">31313</t>
  </si>
  <si>
    <t xml:space="preserve">Southern Crown Partners: Blackshear, GA</t>
  </si>
  <si>
    <t xml:space="preserve">Patriot Liquors #36358</t>
  </si>
  <si>
    <t xml:space="preserve">Patriot Liquors #36358 - Hinesville</t>
  </si>
  <si>
    <t xml:space="preserve">105 W HENDRY ST</t>
  </si>
  <si>
    <t xml:space="preserve">Hy-Vee Grocery Store #1033</t>
  </si>
  <si>
    <t xml:space="preserve">Hy-Vee Grocery Store #1033 - Blue Springs</t>
  </si>
  <si>
    <t xml:space="preserve">625 US-40</t>
  </si>
  <si>
    <t xml:space="preserve">Blue Springs</t>
  </si>
  <si>
    <t xml:space="preserve">64014</t>
  </si>
  <si>
    <t xml:space="preserve">Spec's #055 Cypress Rosehill</t>
  </si>
  <si>
    <t xml:space="preserve">Spec's #059 Westcott and Memorial</t>
  </si>
  <si>
    <t xml:space="preserve">Spec's #139 Katy Mills</t>
  </si>
  <si>
    <t xml:space="preserve">Spec's #169 Stone Oak</t>
  </si>
  <si>
    <t xml:space="preserve">Buzzway Liquors #29615</t>
  </si>
  <si>
    <t xml:space="preserve">Buzzway Liquors #29615 - Statesboro</t>
  </si>
  <si>
    <t xml:space="preserve">22963 US HIGHWAY 80 E BLDG A</t>
  </si>
  <si>
    <t xml:space="preserve">Statesboro</t>
  </si>
  <si>
    <t xml:space="preserve">30461</t>
  </si>
  <si>
    <t xml:space="preserve">On The Bricks Liquor</t>
  </si>
  <si>
    <t xml:space="preserve">On The Bricks Liquor - Ellis</t>
  </si>
  <si>
    <t xml:space="preserve">1106 Washington St</t>
  </si>
  <si>
    <t xml:space="preserve">Ellis</t>
  </si>
  <si>
    <t xml:space="preserve">67637</t>
  </si>
  <si>
    <t xml:space="preserve">Liquor King #3 Lewisville</t>
  </si>
  <si>
    <t xml:space="preserve">Highway 51 Liquor &amp; Bait</t>
  </si>
  <si>
    <t xml:space="preserve">Jeff's Spirits on Main</t>
  </si>
  <si>
    <t xml:space="preserve">Timer's Beverage Center</t>
  </si>
  <si>
    <t xml:space="preserve">Spec's #068 South Padre Island Drive</t>
  </si>
  <si>
    <t xml:space="preserve">Don Panchon Mexican Restaurant</t>
  </si>
  <si>
    <t xml:space="preserve">Don Panchon Mexican Restaurant - Denver</t>
  </si>
  <si>
    <t xml:space="preserve">4650 Tower Rd</t>
  </si>
  <si>
    <t xml:space="preserve">80249</t>
  </si>
  <si>
    <t xml:space="preserve">DJ Liquor #01</t>
  </si>
  <si>
    <t xml:space="preserve">DJ Liquor #01 - Hutchinson</t>
  </si>
  <si>
    <t xml:space="preserve">3002 N Plum St</t>
  </si>
  <si>
    <t xml:space="preserve">Hutchinson</t>
  </si>
  <si>
    <t xml:space="preserve">67502</t>
  </si>
  <si>
    <t xml:space="preserve">Legends Liquors KCK</t>
  </si>
  <si>
    <t xml:space="preserve">9801 Parallel Parkway</t>
  </si>
  <si>
    <t xml:space="preserve">66109</t>
  </si>
  <si>
    <t xml:space="preserve">Gomer's Midtown</t>
  </si>
  <si>
    <t xml:space="preserve">Gomer's Midtown - Kansas City</t>
  </si>
  <si>
    <t xml:space="preserve">BROADWAY</t>
  </si>
  <si>
    <t xml:space="preserve">64111</t>
  </si>
  <si>
    <t xml:space="preserve">Liquor Depot (KMY) Irving (Belt Line)</t>
  </si>
  <si>
    <t xml:space="preserve">Liquor King #10</t>
  </si>
  <si>
    <t xml:space="preserve">RED'S DISCOUNT LIQUOR #5</t>
  </si>
  <si>
    <t xml:space="preserve">Beaumont</t>
  </si>
  <si>
    <t xml:space="preserve">Spec's #028 North Louetta</t>
  </si>
  <si>
    <t xml:space="preserve">Spring</t>
  </si>
  <si>
    <t xml:space="preserve">Spec's #152 Preston Center</t>
  </si>
  <si>
    <t xml:space="preserve">Spec's #167 Lewisville</t>
  </si>
  <si>
    <t xml:space="preserve">Spec's #192 Porter</t>
  </si>
  <si>
    <t xml:space="preserve">Porter</t>
  </si>
  <si>
    <t xml:space="preserve">Spec's #221 Pflugerville</t>
  </si>
  <si>
    <t xml:space="preserve">Pflugerville</t>
  </si>
  <si>
    <t xml:space="preserve">Spec's #347 Garrett</t>
  </si>
  <si>
    <t xml:space="preserve">Garrett</t>
  </si>
  <si>
    <t xml:space="preserve">Stonefield Liquor</t>
  </si>
  <si>
    <t xml:space="preserve">Stonefield Liquor - Houston</t>
  </si>
  <si>
    <t xml:space="preserve">Voodoo Brewpub - Delafield</t>
  </si>
  <si>
    <t xml:space="preserve">Marigold Wine, Spirits, Tobacco</t>
  </si>
  <si>
    <t xml:space="preserve">Marigold Wine, Spirits, Tobacco - Shawnee</t>
  </si>
  <si>
    <t xml:space="preserve">5907 Nieman Rd</t>
  </si>
  <si>
    <t xml:space="preserve">Shawnee</t>
  </si>
  <si>
    <t xml:space="preserve">66203</t>
  </si>
  <si>
    <t xml:space="preserve">Craft Republic</t>
  </si>
  <si>
    <t xml:space="preserve">Craft Republic - St. Louis_3</t>
  </si>
  <si>
    <t xml:space="preserve">1824 S 3rd St</t>
  </si>
  <si>
    <t xml:space="preserve">Tellers Gallery &amp; Bar</t>
  </si>
  <si>
    <t xml:space="preserve">Tellers Gallery &amp; Bar - Columbia_2</t>
  </si>
  <si>
    <t xml:space="preserve">820 E Broadway St</t>
  </si>
  <si>
    <t xml:space="preserve">65201</t>
  </si>
  <si>
    <t xml:space="preserve">Spec's #037 College Station - Texas Ave</t>
  </si>
  <si>
    <t xml:space="preserve">College Station</t>
  </si>
  <si>
    <t xml:space="preserve">Spec's #040 Bear Creek</t>
  </si>
  <si>
    <t xml:space="preserve">Spec's #098 East Southcross SA</t>
  </si>
  <si>
    <t xml:space="preserve">Waterford Wine Co. - Delafield</t>
  </si>
  <si>
    <t xml:space="preserve">Las Margs at Reunion</t>
  </si>
  <si>
    <t xml:space="preserve">Las Margs at Reunion - Commerce City</t>
  </si>
  <si>
    <t xml:space="preserve">15550 E 103rd Pl #112</t>
  </si>
  <si>
    <t xml:space="preserve">Commerce City</t>
  </si>
  <si>
    <t xml:space="preserve">80022</t>
  </si>
  <si>
    <t xml:space="preserve">Pep Boys Auto Service &amp; Tires</t>
  </si>
  <si>
    <t xml:space="preserve">Pep Boys Auto Service &amp; Tires - Colorado Springs</t>
  </si>
  <si>
    <t xml:space="preserve">2800 E Platte Ave</t>
  </si>
  <si>
    <t xml:space="preserve">Colorado Springs</t>
  </si>
  <si>
    <t xml:space="preserve">80909</t>
  </si>
  <si>
    <t xml:space="preserve">Blue Ridge Adventure Gear</t>
  </si>
  <si>
    <t xml:space="preserve">Blue Ridge Adventure Gear - Blue Ridge</t>
  </si>
  <si>
    <t xml:space="preserve">342 E Main St</t>
  </si>
  <si>
    <t xml:space="preserve">Blue Ridge</t>
  </si>
  <si>
    <t xml:space="preserve">30513</t>
  </si>
  <si>
    <t xml:space="preserve">Dollar General #4186</t>
  </si>
  <si>
    <t xml:space="preserve">Dollar General #4186 - Adairsville</t>
  </si>
  <si>
    <t xml:space="preserve">6064 Joe Frank Harris Pkwy NW</t>
  </si>
  <si>
    <t xml:space="preserve">Adairsville</t>
  </si>
  <si>
    <t xml:space="preserve">30103</t>
  </si>
  <si>
    <t xml:space="preserve">La Cantina on Main</t>
  </si>
  <si>
    <t xml:space="preserve">La Cantina on Main - Canton</t>
  </si>
  <si>
    <t xml:space="preserve">210 E Main St</t>
  </si>
  <si>
    <t xml:space="preserve">Canton</t>
  </si>
  <si>
    <t xml:space="preserve">30114</t>
  </si>
  <si>
    <t xml:space="preserve">Peach State Bottle Shop</t>
  </si>
  <si>
    <t xml:space="preserve">Peach State Bottle Shop - Commerce_2</t>
  </si>
  <si>
    <t xml:space="preserve">3260 Maysville Rd.</t>
  </si>
  <si>
    <t xml:space="preserve">Commerce</t>
  </si>
  <si>
    <t xml:space="preserve">30529</t>
  </si>
  <si>
    <t xml:space="preserve">Westside Bottle Shop #4</t>
  </si>
  <si>
    <t xml:space="preserve">Westside Bottle Shop #4 - Athens</t>
  </si>
  <si>
    <t xml:space="preserve">3685 Atlanta Hwy</t>
  </si>
  <si>
    <t xml:space="preserve">Athens</t>
  </si>
  <si>
    <t xml:space="preserve">30606</t>
  </si>
  <si>
    <t xml:space="preserve">1337 N Ridge Rd 1337 n</t>
  </si>
  <si>
    <t xml:space="preserve">1337 N Ridge Rd 1337 n - Wichita</t>
  </si>
  <si>
    <t xml:space="preserve">1337 N Ridge Rd</t>
  </si>
  <si>
    <t xml:space="preserve">67212</t>
  </si>
  <si>
    <t xml:space="preserve">Newton Discount Liquor</t>
  </si>
  <si>
    <t xml:space="preserve">Newton Discount Liquor - Newton</t>
  </si>
  <si>
    <t xml:space="preserve">1225 Washington Rd</t>
  </si>
  <si>
    <t xml:space="preserve">Newton</t>
  </si>
  <si>
    <t xml:space="preserve">67114</t>
  </si>
  <si>
    <t xml:space="preserve">The Drawing Board</t>
  </si>
  <si>
    <t xml:space="preserve">The Drawing Board - St. Louis</t>
  </si>
  <si>
    <t xml:space="preserve">4123 Chippewa St</t>
  </si>
  <si>
    <t xml:space="preserve">63116</t>
  </si>
  <si>
    <t xml:space="preserve">Liquor Bees</t>
  </si>
  <si>
    <t xml:space="preserve">Raven Roost</t>
  </si>
  <si>
    <t xml:space="preserve">Olney</t>
  </si>
  <si>
    <t xml:space="preserve">Spec's #001 Kingwood</t>
  </si>
  <si>
    <t xml:space="preserve">Kingwood</t>
  </si>
  <si>
    <t xml:space="preserve">Spec's #012 Memorial</t>
  </si>
  <si>
    <t xml:space="preserve">Spec's #036 Baytown</t>
  </si>
  <si>
    <t xml:space="preserve">Baytown</t>
  </si>
  <si>
    <t xml:space="preserve">Spec's #038 Bastrop</t>
  </si>
  <si>
    <t xml:space="preserve">Bastrop</t>
  </si>
  <si>
    <t xml:space="preserve">Spec's #061 Brodie Lane</t>
  </si>
  <si>
    <t xml:space="preserve">Spec's #064 Southpark Meadows</t>
  </si>
  <si>
    <t xml:space="preserve">Spec's #076 Elgin</t>
  </si>
  <si>
    <t xml:space="preserve">Elgin</t>
  </si>
  <si>
    <t xml:space="preserve">Spec's #080 Wichita Falls</t>
  </si>
  <si>
    <t xml:space="preserve">Spec's #085 Express Flour Bluff</t>
  </si>
  <si>
    <t xml:space="preserve">Spec's #089 Spring - Stuebner</t>
  </si>
  <si>
    <t xml:space="preserve">Spec's #093 Brenham</t>
  </si>
  <si>
    <t xml:space="preserve">Brenham</t>
  </si>
  <si>
    <t xml:space="preserve">Spec's #127 Dalworthington</t>
  </si>
  <si>
    <t xml:space="preserve">Spec's #134 Las Tiendas Plaza</t>
  </si>
  <si>
    <t xml:space="preserve">Brownsville</t>
  </si>
  <si>
    <t xml:space="preserve">Spec's #141 East Plano</t>
  </si>
  <si>
    <t xml:space="preserve">Spec's #148 Fat Dog</t>
  </si>
  <si>
    <t xml:space="preserve">Spec's #148 Fat Dog - Kilgore</t>
  </si>
  <si>
    <t xml:space="preserve">Kilgore</t>
  </si>
  <si>
    <t xml:space="preserve">Spec's #219 Shadow Creek Ranch</t>
  </si>
  <si>
    <t xml:space="preserve">Samples - Vincent Bennin</t>
  </si>
  <si>
    <t xml:space="preserve">Not a retail outlet - accounting or sample line</t>
  </si>
  <si>
    <t xml:space="preserve">Country Club At Castle Pines</t>
  </si>
  <si>
    <t xml:space="preserve">Country Club At Castle Pines - Castle Rock</t>
  </si>
  <si>
    <t xml:space="preserve">6400 Country Club Dr</t>
  </si>
  <si>
    <t xml:space="preserve">Castle Rock</t>
  </si>
  <si>
    <t xml:space="preserve">80108</t>
  </si>
  <si>
    <t xml:space="preserve">Perdida - Mexican Kitchen</t>
  </si>
  <si>
    <t xml:space="preserve">Perdida - Mexican Kitchen - Denver</t>
  </si>
  <si>
    <t xml:space="preserve">1066 S Gaylord St</t>
  </si>
  <si>
    <t xml:space="preserve">80209</t>
  </si>
  <si>
    <t xml:space="preserve">The Hound</t>
  </si>
  <si>
    <t xml:space="preserve">The Hound - Denver_2</t>
  </si>
  <si>
    <t xml:space="preserve">3575 S Yosemite St</t>
  </si>
  <si>
    <t xml:space="preserve">80237</t>
  </si>
  <si>
    <t xml:space="preserve">Ajua Mexican Kitchen</t>
  </si>
  <si>
    <t xml:space="preserve">Jacksonville</t>
  </si>
  <si>
    <t xml:space="preserve">La Cabana</t>
  </si>
  <si>
    <t xml:space="preserve">La Cabana - Cave Spring</t>
  </si>
  <si>
    <t xml:space="preserve">118 Gadsden Rd SW</t>
  </si>
  <si>
    <t xml:space="preserve">Cave Spring</t>
  </si>
  <si>
    <t xml:space="preserve">30124</t>
  </si>
  <si>
    <t xml:space="preserve">Las Mesas Mexican Grill</t>
  </si>
  <si>
    <t xml:space="preserve">Las Mesas Mexican Grill - Rome</t>
  </si>
  <si>
    <t xml:space="preserve">2817 Martha Berry Hwy</t>
  </si>
  <si>
    <t xml:space="preserve">30165</t>
  </si>
  <si>
    <t xml:space="preserve">New Tokyo Hibachi</t>
  </si>
  <si>
    <t xml:space="preserve">New Tokyo Hibachi - Conyers</t>
  </si>
  <si>
    <t xml:space="preserve">3030 Edwards Dr</t>
  </si>
  <si>
    <t xml:space="preserve">Pappy's Pizza NY Style</t>
  </si>
  <si>
    <t xml:space="preserve">Pappy's Pizza NY Style - Adairsville</t>
  </si>
  <si>
    <t xml:space="preserve">6192 Joe Frank Harris Pkwy</t>
  </si>
  <si>
    <t xml:space="preserve">The Iron Rail</t>
  </si>
  <si>
    <t xml:space="preserve">The Iron Rail - Bolingbroke</t>
  </si>
  <si>
    <t xml:space="preserve">5995 US-41</t>
  </si>
  <si>
    <t xml:space="preserve">Bolingbroke</t>
  </si>
  <si>
    <t xml:space="preserve">312004</t>
  </si>
  <si>
    <t xml:space="preserve">Water Witch Tiki</t>
  </si>
  <si>
    <t xml:space="preserve">Water Witch Tiki - Savannah</t>
  </si>
  <si>
    <t xml:space="preserve">2220 BULL ST</t>
  </si>
  <si>
    <t xml:space="preserve">31401</t>
  </si>
  <si>
    <t xml:space="preserve">Burgardt Liquor</t>
  </si>
  <si>
    <t xml:space="preserve">Burgardt Liquor - Wichita</t>
  </si>
  <si>
    <t xml:space="preserve">3027 E Pawnee St</t>
  </si>
  <si>
    <t xml:space="preserve">67211</t>
  </si>
  <si>
    <t xml:space="preserve">Goddard Central Wine &amp; Spirits</t>
  </si>
  <si>
    <t xml:space="preserve">19950 W Kellogg Street</t>
  </si>
  <si>
    <t xml:space="preserve">Goddard</t>
  </si>
  <si>
    <t xml:space="preserve">67052</t>
  </si>
  <si>
    <t xml:space="preserve">Liquor Warehouse</t>
  </si>
  <si>
    <t xml:space="preserve">Liquor Warehouse - Wichita</t>
  </si>
  <si>
    <t xml:space="preserve">10555 W 21st St</t>
  </si>
  <si>
    <t xml:space="preserve">Riverside Liquor</t>
  </si>
  <si>
    <t xml:space="preserve">Riverside Liquor - Eureka</t>
  </si>
  <si>
    <t xml:space="preserve">320 W RIVER STREET</t>
  </si>
  <si>
    <t xml:space="preserve">Eureka</t>
  </si>
  <si>
    <t xml:space="preserve">67045</t>
  </si>
  <si>
    <t xml:space="preserve">Plaza Liquor</t>
  </si>
  <si>
    <t xml:space="preserve">Plaza Liquor - Kansas City</t>
  </si>
  <si>
    <t xml:space="preserve">BELLEVIEW</t>
  </si>
  <si>
    <t xml:space="preserve">StackHouse Pub &amp; Grill</t>
  </si>
  <si>
    <t xml:space="preserve">StackHouse Pub &amp; Grill - Chesterfield</t>
  </si>
  <si>
    <t xml:space="preserve">14156 Olive Blvd</t>
  </si>
  <si>
    <t xml:space="preserve">Chesterfield</t>
  </si>
  <si>
    <t xml:space="preserve">63017</t>
  </si>
  <si>
    <t xml:space="preserve">Spec's #010 Seabrook</t>
  </si>
  <si>
    <t xml:space="preserve">Seabrook</t>
  </si>
  <si>
    <t xml:space="preserve">Spec's #011 North Lamar</t>
  </si>
  <si>
    <t xml:space="preserve">Spec's #014 Louetta/Klein</t>
  </si>
  <si>
    <t xml:space="preserve">Spec's #022 Atascocita</t>
  </si>
  <si>
    <t xml:space="preserve">Atascocita</t>
  </si>
  <si>
    <t xml:space="preserve">Spec's #025 Willis</t>
  </si>
  <si>
    <t xml:space="preserve">Willis</t>
  </si>
  <si>
    <t xml:space="preserve">Spec's #043 Sugar Creek</t>
  </si>
  <si>
    <t xml:space="preserve">Sugar Land</t>
  </si>
  <si>
    <t xml:space="preserve">Spec's #046 Pearland</t>
  </si>
  <si>
    <t xml:space="preserve">Spec's #056 Spring Cypress</t>
  </si>
  <si>
    <t xml:space="preserve">Spec's #057 CS University Dr</t>
  </si>
  <si>
    <t xml:space="preserve">Spec's #067 Victoria</t>
  </si>
  <si>
    <t xml:space="preserve">Victoria</t>
  </si>
  <si>
    <t xml:space="preserve">Spec's #069 Live Oak / Selma</t>
  </si>
  <si>
    <t xml:space="preserve">Live Oak</t>
  </si>
  <si>
    <t xml:space="preserve">Spec's #074 Kerrville</t>
  </si>
  <si>
    <t xml:space="preserve">Kerrville</t>
  </si>
  <si>
    <t xml:space="preserve">Spec's #078 McAllen Trenton &amp; 10th</t>
  </si>
  <si>
    <t xml:space="preserve">Mcallen</t>
  </si>
  <si>
    <t xml:space="preserve">Spec's #081 Shepherd</t>
  </si>
  <si>
    <t xml:space="preserve">Spec's #087 Yorktown</t>
  </si>
  <si>
    <t xml:space="preserve">Spec's #112 Marble Falls</t>
  </si>
  <si>
    <t xml:space="preserve">Marble Falls</t>
  </si>
  <si>
    <t xml:space="preserve">Spec's #115 Northwest Highway</t>
  </si>
  <si>
    <t xml:space="preserve">Spec's #121 Lacy Lakeview</t>
  </si>
  <si>
    <t xml:space="preserve">Spec's #123 Denton</t>
  </si>
  <si>
    <t xml:space="preserve">Denton</t>
  </si>
  <si>
    <t xml:space="preserve">Spec's #129 Schertz</t>
  </si>
  <si>
    <t xml:space="preserve">Schertz</t>
  </si>
  <si>
    <t xml:space="preserve">Spec's #140 Fulshear</t>
  </si>
  <si>
    <t xml:space="preserve">Spec's #174 Rowlett</t>
  </si>
  <si>
    <t xml:space="preserve">Spec's #176 Sienna Plantation</t>
  </si>
  <si>
    <t xml:space="preserve">Spec's #188 Legacy</t>
  </si>
  <si>
    <t xml:space="preserve">Spec's #194 San Antonio Dominion</t>
  </si>
  <si>
    <t xml:space="preserve">Spec's #203 Fate</t>
  </si>
  <si>
    <t xml:space="preserve">Fate</t>
  </si>
  <si>
    <t xml:space="preserve">Spec's #204 Hurst</t>
  </si>
  <si>
    <t xml:space="preserve">Hurst</t>
  </si>
  <si>
    <t xml:space="preserve">Spec's #207 Boerne</t>
  </si>
  <si>
    <t xml:space="preserve">Boerne</t>
  </si>
  <si>
    <t xml:space="preserve">Spec's #210 Nacogdoches</t>
  </si>
  <si>
    <t xml:space="preserve">Nacogdoches</t>
  </si>
  <si>
    <t xml:space="preserve">Spec's #211 Bedford</t>
  </si>
  <si>
    <t xml:space="preserve">Spec's #212 Plano North</t>
  </si>
  <si>
    <t xml:space="preserve">Spec's #213 Irving</t>
  </si>
  <si>
    <t xml:space="preserve">Spec's #214 Greenville</t>
  </si>
  <si>
    <t xml:space="preserve">Spec's #217 Brownsville</t>
  </si>
  <si>
    <t xml:space="preserve">Spec's #222 W 34th Street</t>
  </si>
  <si>
    <t xml:space="preserve">Spec's #226 Lewisville</t>
  </si>
  <si>
    <t xml:space="preserve">Waterford Wine Co. - Eastside</t>
  </si>
  <si>
    <t xml:space="preserve">Samples - 100% Billback</t>
  </si>
  <si>
    <t xml:space="preserve">Fifo Adjustment Monument</t>
  </si>
  <si>
    <t xml:space="preserve">Fifo Adjustment Monument - TBD</t>
  </si>
  <si>
    <t xml:space="preserve">TBD</t>
  </si>
  <si>
    <t xml:space="preserve">Tbd</t>
  </si>
  <si>
    <t xml:space="preserve">Beverage SuperStore of Grayson #4</t>
  </si>
  <si>
    <t xml:space="preserve">Beverage SuperStore of Grayson #4 - Grayson</t>
  </si>
  <si>
    <t xml:space="preserve">2265 Loganville Hwy</t>
  </si>
  <si>
    <t xml:space="preserve">Grayson</t>
  </si>
  <si>
    <t xml:space="preserve">30017</t>
  </si>
  <si>
    <t xml:space="preserve">Zero or credit only in July</t>
  </si>
  <si>
    <t xml:space="preserve">Cheers Liquor Store</t>
  </si>
  <si>
    <t xml:space="preserve">Cheers Liquor Store - Hampton</t>
  </si>
  <si>
    <t xml:space="preserve">106 Woolsey Rd</t>
  </si>
  <si>
    <t xml:space="preserve">Hampton</t>
  </si>
  <si>
    <t xml:space="preserve">30228</t>
  </si>
  <si>
    <t xml:space="preserve">Hwy 155 package</t>
  </si>
  <si>
    <t xml:space="preserve">Hwy 155 package - Locust Grove</t>
  </si>
  <si>
    <t xml:space="preserve">3430 N McDonough Rd</t>
  </si>
  <si>
    <t xml:space="preserve">Locust Grove</t>
  </si>
  <si>
    <t xml:space="preserve">30248</t>
  </si>
  <si>
    <t xml:space="preserve">Matt Broom</t>
  </si>
  <si>
    <t xml:space="preserve">Matt Broom - Norcross</t>
  </si>
  <si>
    <t xml:space="preserve">6205 Best Friend Rd</t>
  </si>
  <si>
    <t xml:space="preserve">Norcross</t>
  </si>
  <si>
    <t xml:space="preserve">30071</t>
  </si>
  <si>
    <t xml:space="preserve">Sip Wine &amp; Spirits</t>
  </si>
  <si>
    <t xml:space="preserve">Sip Wine &amp; Spirits - Cumming</t>
  </si>
  <si>
    <t xml:space="preserve">3915 Towne Club Parkway</t>
  </si>
  <si>
    <t xml:space="preserve">Southern Crown Partners</t>
  </si>
  <si>
    <t xml:space="preserve">Southern Crown Partners - Vidalia</t>
  </si>
  <si>
    <t xml:space="preserve">1912 Transus Dr</t>
  </si>
  <si>
    <t xml:space="preserve">Vidalia</t>
  </si>
  <si>
    <t xml:space="preserve">30474</t>
  </si>
  <si>
    <t xml:space="preserve">Southern Crown Partners: Vidalia, GA</t>
  </si>
  <si>
    <t xml:space="preserve">Suwanee TopShelf Beverage</t>
  </si>
  <si>
    <t xml:space="preserve">Suwanee TopShelf Beverage - Suwanee</t>
  </si>
  <si>
    <t xml:space="preserve">350 Peachtree Industrial Blvd</t>
  </si>
  <si>
    <t xml:space="preserve">Uptown Package Store</t>
  </si>
  <si>
    <t xml:space="preserve">Uptown Package Store - Doraville</t>
  </si>
  <si>
    <t xml:space="preserve">3800 Pleasantdale Rd</t>
  </si>
  <si>
    <t xml:space="preserve">Doraville</t>
  </si>
  <si>
    <t xml:space="preserve">30340</t>
  </si>
  <si>
    <t xml:space="preserve">FIFO Adjustment</t>
  </si>
  <si>
    <t xml:space="preserve">FIFO Adjustment - City</t>
  </si>
  <si>
    <t xml:space="preserve">Abiys International Wine</t>
  </si>
  <si>
    <t xml:space="preserve">Abiys International Wine - Jefferson City</t>
  </si>
  <si>
    <t xml:space="preserve">3702 W. Truman Blvd.</t>
  </si>
  <si>
    <t xml:space="preserve">Jefferson City</t>
  </si>
  <si>
    <t xml:space="preserve">65109</t>
  </si>
  <si>
    <t xml:space="preserve">Miniature Market - Rock Hill</t>
  </si>
  <si>
    <t xml:space="preserve">Miniature Market - Rock Hill - St. Louis</t>
  </si>
  <si>
    <t xml:space="preserve">9755 Manchester Rd</t>
  </si>
  <si>
    <t xml:space="preserve">63119</t>
  </si>
  <si>
    <t xml:space="preserve">VIC PIERCE LIQUOR</t>
  </si>
  <si>
    <t xml:space="preserve">LeGrand's Market and Catering</t>
  </si>
  <si>
    <t xml:space="preserve">LeGrand's Market and Catering - St Louis</t>
  </si>
  <si>
    <t xml:space="preserve">4414 Donovan Ave</t>
  </si>
  <si>
    <t xml:space="preserve">St Louis</t>
  </si>
  <si>
    <t xml:space="preserve">63109</t>
  </si>
</sst>
</file>

<file path=xl/styles.xml><?xml version="1.0" encoding="utf-8"?>
<styleSheet xmlns="http://schemas.openxmlformats.org/spreadsheetml/2006/main">
  <numFmts count="3">
    <numFmt numFmtId="164" formatCode="General"/>
    <numFmt numFmtId="165" formatCode="0.00"/>
    <numFmt numFmtId="166" formatCode="0.00000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s>
  <fills count="5">
    <fill>
      <patternFill patternType="none"/>
    </fill>
    <fill>
      <patternFill patternType="gray125"/>
    </fill>
    <fill>
      <patternFill patternType="solid">
        <fgColor rgb="FF08202F"/>
        <bgColor rgb="FF003366"/>
      </patternFill>
    </fill>
    <fill>
      <patternFill patternType="solid">
        <fgColor rgb="FF1E4D2B"/>
        <bgColor rgb="FF333300"/>
      </patternFill>
    </fill>
    <fill>
      <patternFill patternType="solid">
        <fgColor rgb="FF7A3E12"/>
        <bgColor rgb="FF99336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8202F"/>
          <bgColor rgb="FF000000"/>
        </patternFill>
      </fill>
    </dxf>
    <dxf>
      <fill>
        <patternFill patternType="solid">
          <bgColor rgb="FF000000"/>
        </patternFill>
      </fill>
    </dxf>
    <dxf>
      <fill>
        <patternFill patternType="solid">
          <fgColor rgb="FFFFFFFF"/>
          <bgColor rgb="FF000000"/>
        </patternFill>
      </fill>
    </dxf>
    <dxf>
      <fill>
        <patternFill patternType="solid">
          <fgColor rgb="FF1E4D2B"/>
          <bgColor rgb="FF000000"/>
        </patternFill>
      </fill>
    </dxf>
    <dxf>
      <fill>
        <patternFill patternType="solid">
          <fgColor rgb="FF7A3E1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8202F"/>
      <rgbColor rgb="FF333300"/>
      <rgbColor rgb="FF7A3E12"/>
      <rgbColor rgb="FF993366"/>
      <rgbColor rgb="FF333399"/>
      <rgbColor rgb="FF1E4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0"/>
    <col collapsed="false" customWidth="true" hidden="false" outlineLevel="0" max="3" min="3" style="1" width="30"/>
    <col collapsed="false" customWidth="true" hidden="false" outlineLevel="0" max="4" min="4" style="1" width="18"/>
    <col collapsed="false" customWidth="true" hidden="false" outlineLevel="0" max="5" min="5" style="1" width="7"/>
    <col collapsed="false" customWidth="true" hidden="false" outlineLevel="0" max="6" min="6" style="1" width="11"/>
    <col collapsed="false" customWidth="true" hidden="false" outlineLevel="0" max="7" min="7" style="1" width="18"/>
    <col collapsed="false" customWidth="true" hidden="false" outlineLevel="0" max="8" min="8" style="1" width="30"/>
    <col collapsed="false" customWidth="true" hidden="false" outlineLevel="0" max="9" min="9" style="1" width="16"/>
    <col collapsed="false" customWidth="true" hidden="false" outlineLevel="0" max="10" min="10" style="1" width="14"/>
    <col collapsed="false" customWidth="true" hidden="false" outlineLevel="0" max="11" min="11" style="1" width="34"/>
    <col collapsed="false" customWidth="true" hidden="false" outlineLevel="0" max="12" min="12" style="1" width="13"/>
    <col collapsed="false" customWidth="true" hidden="false" outlineLevel="0" max="13" min="13" style="1" width="20"/>
    <col collapsed="false" customWidth="true" hidden="false" outlineLevel="0" max="14" min="14" style="1" width="58"/>
    <col collapsed="false" customWidth="true" hidden="false" outlineLevel="0" max="15" min="15" style="1" width="22"/>
    <col collapsed="false" customWidth="true" hidden="false" outlineLevel="0" max="16" min="16" style="1" width="42"/>
    <col collapsed="false" customWidth="true" hidden="false" outlineLevel="0" max="17" min="17" style="1" width="34"/>
    <col collapsed="false" customWidth="true" hidden="false" outlineLevel="0" max="18" min="18" style="1" width="44"/>
    <col collapsed="false" customWidth="true" hidden="false" outlineLevel="0" max="19" min="19" style="1" width="32"/>
    <col collapsed="false" customWidth="true" hidden="false" outlineLevel="0" max="21" min="20" style="1" width="12"/>
    <col collapsed="false" customWidth="true" hidden="false" outlineLevel="0" max="22" min="22" style="1" width="30"/>
    <col collapsed="false" customWidth="true" hidden="false" outlineLevel="0" max="23" min="23" style="1" width="46"/>
    <col collapsed="false" customWidth="true" hidden="false" outlineLevel="0" max="24" min="24" style="1" width="16"/>
    <col collapsed="false" customWidth="true" hidden="false" outlineLevel="0" max="25" min="25" style="0" width="52"/>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3" t="s">
        <v>19</v>
      </c>
      <c r="U1" s="3" t="s">
        <v>20</v>
      </c>
      <c r="V1" s="3" t="s">
        <v>21</v>
      </c>
      <c r="W1" s="3" t="s">
        <v>22</v>
      </c>
      <c r="X1" s="3" t="s">
        <v>23</v>
      </c>
      <c r="Y1" s="4" t="s">
        <v>24</v>
      </c>
    </row>
    <row r="2" customFormat="false" ht="15" hidden="false" customHeight="true" outlineLevel="0" collapsed="false">
      <c r="A2" s="5" t="s">
        <v>25</v>
      </c>
      <c r="B2" s="5" t="s">
        <v>26</v>
      </c>
      <c r="C2" s="5" t="s">
        <v>27</v>
      </c>
      <c r="D2" s="5" t="s">
        <v>28</v>
      </c>
      <c r="E2" s="5" t="s">
        <v>29</v>
      </c>
      <c r="F2" s="5" t="s">
        <v>30</v>
      </c>
      <c r="G2" s="5" t="s">
        <v>31</v>
      </c>
      <c r="H2" s="5" t="s">
        <v>32</v>
      </c>
      <c r="I2" s="5" t="s">
        <v>33</v>
      </c>
      <c r="J2" s="6" t="n">
        <v>42</v>
      </c>
      <c r="K2" s="5" t="s">
        <v>34</v>
      </c>
      <c r="L2" s="5" t="n">
        <f aca="false">IF($K2="",0,LEN($K2)-LEN(SUBSTITUTE($K2,",",""))+1)</f>
        <v>3</v>
      </c>
      <c r="M2" s="5" t="s">
        <v>35</v>
      </c>
      <c r="N2" s="5" t="str">
        <f aca="false">TRIM($A2&amp;" "&amp;IF($C2="",$R2,$C2&amp;" "&amp;$D2&amp;" "&amp;$E2&amp;" "&amp;$F2))</f>
        <v>Southern Sips Liquor 1129 SR 96 Kathleen GA 31047</v>
      </c>
      <c r="O2" s="5" t="str">
        <f aca="false">IF($P2&lt;&gt;"","Exclude",IF(AND($M2&lt;&gt;"Full address",$R2=""),"Needs address",IF($J2&lt;0.5,"Hold - low volume",IF(LEFT($W2,3)="Low","Verify address",IF($G2="Needs review","Needs premise review",IF($X2="Estimated","Ready - address estimated","Ready"))))))</f>
        <v>Ready</v>
      </c>
      <c r="P2" s="5"/>
      <c r="Q2" s="5" t="s">
        <v>36</v>
      </c>
      <c r="R2" s="5"/>
      <c r="S2" s="5"/>
      <c r="T2" s="7"/>
      <c r="U2" s="7"/>
      <c r="V2" s="5"/>
      <c r="W2" s="5"/>
      <c r="X2" s="5" t="s">
        <v>37</v>
      </c>
      <c r="Y2" s="8" t="str">
        <f aca="false">IF($C2&lt;&gt;"",TRIM($C2&amp;", "&amp;$D2&amp;", "&amp;$E2&amp;" "&amp;$F2),IF($R2&lt;&gt;"",$R2,IF($D2&lt;&gt;"",$D2&amp;", "&amp;$E2,$I2)))</f>
        <v>1129 SR 96, Kathleen, GA 31047</v>
      </c>
    </row>
    <row r="3" customFormat="false" ht="15" hidden="false" customHeight="true" outlineLevel="0" collapsed="false">
      <c r="A3" s="5" t="s">
        <v>38</v>
      </c>
      <c r="B3" s="5" t="s">
        <v>38</v>
      </c>
      <c r="C3" s="5"/>
      <c r="D3" s="5" t="s">
        <v>39</v>
      </c>
      <c r="E3" s="5" t="s">
        <v>40</v>
      </c>
      <c r="F3" s="5"/>
      <c r="G3" s="5" t="s">
        <v>31</v>
      </c>
      <c r="H3" s="5" t="s">
        <v>41</v>
      </c>
      <c r="I3" s="5" t="s">
        <v>42</v>
      </c>
      <c r="J3" s="6" t="n">
        <v>19</v>
      </c>
      <c r="K3" s="5" t="s">
        <v>43</v>
      </c>
      <c r="L3" s="5" t="n">
        <f aca="false">IF($K3="",0,LEN($K3)-LEN(SUBSTITUTE($K3,",",""))+1)</f>
        <v>4</v>
      </c>
      <c r="M3" s="5" t="s">
        <v>44</v>
      </c>
      <c r="N3" s="5" t="str">
        <f aca="false">TRIM($A3&amp;" "&amp;IF($C3="",$R3,$C3&amp;" "&amp;$D3&amp;" "&amp;$E3&amp;" "&amp;$F3))</f>
        <v>Goody Goody #16 103 FM 423, Little Elm, TX 75068</v>
      </c>
      <c r="O3" s="5" t="str">
        <f aca="false">IF($P3&lt;&gt;"","Exclude",IF(AND($M3&lt;&gt;"Full address",$R3=""),"Needs address",IF($J3&lt;0.5,"Hold - low volume",IF(LEFT($W3,3)="Low","Verify address",IF($G3="Needs review","Needs premise review",IF($X3="Estimated","Ready - address estimated","Ready"))))))</f>
        <v>Ready - address estimated</v>
      </c>
      <c r="P3" s="5"/>
      <c r="Q3" s="5" t="s">
        <v>45</v>
      </c>
      <c r="R3" s="5" t="s">
        <v>46</v>
      </c>
      <c r="S3" s="5" t="s">
        <v>47</v>
      </c>
      <c r="T3" s="7" t="n">
        <v>33.169774</v>
      </c>
      <c r="U3" s="7" t="n">
        <v>-96.8878996</v>
      </c>
      <c r="V3" s="5" t="s">
        <v>48</v>
      </c>
      <c r="W3" s="5" t="s">
        <v>49</v>
      </c>
      <c r="X3" s="5" t="s">
        <v>50</v>
      </c>
      <c r="Y3" s="8" t="str">
        <f aca="false">IF($C3&lt;&gt;"",TRIM($C3&amp;", "&amp;$D3&amp;", "&amp;$E3&amp;" "&amp;$F3),IF($R3&lt;&gt;"",$R3,IF($D3&lt;&gt;"",$D3&amp;", "&amp;$E3,$I3)))</f>
        <v>103 FM 423, Little Elm, TX 75068</v>
      </c>
    </row>
    <row r="4" customFormat="false" ht="15" hidden="false" customHeight="true" outlineLevel="0" collapsed="false">
      <c r="A4" s="5" t="s">
        <v>51</v>
      </c>
      <c r="B4" s="5" t="s">
        <v>51</v>
      </c>
      <c r="C4" s="5"/>
      <c r="D4" s="5" t="s">
        <v>52</v>
      </c>
      <c r="E4" s="5" t="s">
        <v>40</v>
      </c>
      <c r="F4" s="5"/>
      <c r="G4" s="5" t="s">
        <v>31</v>
      </c>
      <c r="H4" s="5" t="s">
        <v>41</v>
      </c>
      <c r="I4" s="5" t="s">
        <v>42</v>
      </c>
      <c r="J4" s="6" t="n">
        <v>17</v>
      </c>
      <c r="K4" s="5" t="s">
        <v>43</v>
      </c>
      <c r="L4" s="5" t="n">
        <f aca="false">IF($K4="",0,LEN($K4)-LEN(SUBSTITUTE($K4,",",""))+1)</f>
        <v>4</v>
      </c>
      <c r="M4" s="5" t="s">
        <v>44</v>
      </c>
      <c r="N4" s="5" t="str">
        <f aca="false">TRIM($A4&amp;" "&amp;IF($C4="",$R4,$C4&amp;" "&amp;$D4&amp;" "&amp;$E4&amp;" "&amp;$F4))</f>
        <v>Goody Goody #12 1950 FM 407, Highland Village, TX 75077</v>
      </c>
      <c r="O4" s="5" t="str">
        <f aca="false">IF($P4&lt;&gt;"","Exclude",IF(AND($M4&lt;&gt;"Full address",$R4=""),"Needs address",IF($J4&lt;0.5,"Hold - low volume",IF(LEFT($W4,3)="Low","Verify address",IF($G4="Needs review","Needs premise review",IF($X4="Estimated","Ready - address estimated","Ready"))))))</f>
        <v>Ready - address estimated</v>
      </c>
      <c r="P4" s="5"/>
      <c r="Q4" s="5" t="s">
        <v>45</v>
      </c>
      <c r="R4" s="5" t="s">
        <v>53</v>
      </c>
      <c r="S4" s="5" t="s">
        <v>47</v>
      </c>
      <c r="T4" s="7" t="n">
        <v>33.0723056</v>
      </c>
      <c r="U4" s="7" t="n">
        <v>-97.047937</v>
      </c>
      <c r="V4" s="5" t="s">
        <v>54</v>
      </c>
      <c r="W4" s="5" t="s">
        <v>49</v>
      </c>
      <c r="X4" s="5" t="s">
        <v>50</v>
      </c>
      <c r="Y4" s="8" t="str">
        <f aca="false">IF($C4&lt;&gt;"",TRIM($C4&amp;", "&amp;$D4&amp;", "&amp;$E4&amp;" "&amp;$F4),IF($R4&lt;&gt;"",$R4,IF($D4&lt;&gt;"",$D4&amp;", "&amp;$E4,$I4)))</f>
        <v>1950 FM 407, Highland Village, TX 75077</v>
      </c>
    </row>
    <row r="5" customFormat="false" ht="15" hidden="false" customHeight="true" outlineLevel="0" collapsed="false">
      <c r="A5" s="5" t="s">
        <v>55</v>
      </c>
      <c r="B5" s="5" t="s">
        <v>56</v>
      </c>
      <c r="C5" s="5" t="s">
        <v>57</v>
      </c>
      <c r="D5" s="5" t="s">
        <v>58</v>
      </c>
      <c r="E5" s="5" t="s">
        <v>59</v>
      </c>
      <c r="F5" s="5" t="s">
        <v>60</v>
      </c>
      <c r="G5" s="5" t="s">
        <v>31</v>
      </c>
      <c r="H5" s="5" t="s">
        <v>61</v>
      </c>
      <c r="I5" s="5" t="s">
        <v>62</v>
      </c>
      <c r="J5" s="6" t="n">
        <v>16</v>
      </c>
      <c r="K5" s="5" t="s">
        <v>63</v>
      </c>
      <c r="L5" s="5" t="n">
        <f aca="false">IF($K5="",0,LEN($K5)-LEN(SUBSTITUTE($K5,",",""))+1)</f>
        <v>2</v>
      </c>
      <c r="M5" s="5" t="s">
        <v>35</v>
      </c>
      <c r="N5" s="5" t="str">
        <f aca="false">TRIM($A5&amp;" "&amp;IF($C5="",$R5,$C5&amp;" "&amp;$D5&amp;" "&amp;$E5&amp;" "&amp;$F5))</f>
        <v>Nile Liquor Store 1390 Peoria St Unit A Aurora CO 80011</v>
      </c>
      <c r="O5" s="5" t="str">
        <f aca="false">IF($P5&lt;&gt;"","Exclude",IF(AND($M5&lt;&gt;"Full address",$R5=""),"Needs address",IF($J5&lt;0.5,"Hold - low volume",IF(LEFT($W5,3)="Low","Verify address",IF($G5="Needs review","Needs premise review",IF($X5="Estimated","Ready - address estimated","Ready"))))))</f>
        <v>Ready</v>
      </c>
      <c r="P5" s="5"/>
      <c r="Q5" s="5" t="s">
        <v>64</v>
      </c>
      <c r="R5" s="5"/>
      <c r="S5" s="5"/>
      <c r="T5" s="7"/>
      <c r="U5" s="7"/>
      <c r="V5" s="5"/>
      <c r="W5" s="5"/>
      <c r="X5" s="5" t="s">
        <v>37</v>
      </c>
      <c r="Y5" s="8" t="str">
        <f aca="false">IF($C5&lt;&gt;"",TRIM($C5&amp;", "&amp;$D5&amp;", "&amp;$E5&amp;" "&amp;$F5),IF($R5&lt;&gt;"",$R5,IF($D5&lt;&gt;"",$D5&amp;", "&amp;$E5,$I5)))</f>
        <v>1390 Peoria St Unit A, Aurora, CO 80011</v>
      </c>
    </row>
    <row r="6" customFormat="false" ht="15" hidden="false" customHeight="true" outlineLevel="0" collapsed="false">
      <c r="A6" s="5" t="s">
        <v>65</v>
      </c>
      <c r="B6" s="5" t="s">
        <v>66</v>
      </c>
      <c r="C6" s="5" t="s">
        <v>67</v>
      </c>
      <c r="D6" s="5" t="s">
        <v>68</v>
      </c>
      <c r="E6" s="5" t="s">
        <v>29</v>
      </c>
      <c r="F6" s="5" t="s">
        <v>69</v>
      </c>
      <c r="G6" s="5" t="s">
        <v>31</v>
      </c>
      <c r="H6" s="5" t="s">
        <v>32</v>
      </c>
      <c r="I6" s="5" t="s">
        <v>33</v>
      </c>
      <c r="J6" s="6" t="n">
        <v>13</v>
      </c>
      <c r="K6" s="5" t="s">
        <v>70</v>
      </c>
      <c r="L6" s="5" t="n">
        <f aca="false">IF($K6="",0,LEN($K6)-LEN(SUBSTITUTE($K6,",",""))+1)</f>
        <v>4</v>
      </c>
      <c r="M6" s="5" t="s">
        <v>35</v>
      </c>
      <c r="N6" s="5" t="str">
        <f aca="false">TRIM($A6&amp;" "&amp;IF($C6="",$R6,$C6&amp;" "&amp;$D6&amp;" "&amp;$E6&amp;" "&amp;$F6))</f>
        <v>AL G'S Liquor Store 3646 Austell Rd Marietta GA 30008</v>
      </c>
      <c r="O6" s="5" t="str">
        <f aca="false">IF($P6&lt;&gt;"","Exclude",IF(AND($M6&lt;&gt;"Full address",$R6=""),"Needs address",IF($J6&lt;0.5,"Hold - low volume",IF(LEFT($W6,3)="Low","Verify address",IF($G6="Needs review","Needs premise review",IF($X6="Estimated","Ready - address estimated","Ready"))))))</f>
        <v>Ready</v>
      </c>
      <c r="P6" s="5"/>
      <c r="Q6" s="5" t="s">
        <v>36</v>
      </c>
      <c r="R6" s="5"/>
      <c r="S6" s="5"/>
      <c r="T6" s="7"/>
      <c r="U6" s="7"/>
      <c r="V6" s="5"/>
      <c r="W6" s="5"/>
      <c r="X6" s="5" t="s">
        <v>37</v>
      </c>
      <c r="Y6" s="8" t="str">
        <f aca="false">IF($C6&lt;&gt;"",TRIM($C6&amp;", "&amp;$D6&amp;", "&amp;$E6&amp;" "&amp;$F6),IF($R6&lt;&gt;"",$R6,IF($D6&lt;&gt;"",$D6&amp;", "&amp;$E6,$I6)))</f>
        <v>3646 Austell Rd, Marietta, GA 30008</v>
      </c>
    </row>
    <row r="7" customFormat="false" ht="15" hidden="false" customHeight="true" outlineLevel="0" collapsed="false">
      <c r="A7" s="5" t="s">
        <v>71</v>
      </c>
      <c r="B7" s="5" t="s">
        <v>72</v>
      </c>
      <c r="C7" s="5" t="s">
        <v>73</v>
      </c>
      <c r="D7" s="5" t="s">
        <v>74</v>
      </c>
      <c r="E7" s="5" t="s">
        <v>29</v>
      </c>
      <c r="F7" s="5" t="s">
        <v>75</v>
      </c>
      <c r="G7" s="5" t="s">
        <v>31</v>
      </c>
      <c r="H7" s="5" t="s">
        <v>32</v>
      </c>
      <c r="I7" s="5" t="s">
        <v>33</v>
      </c>
      <c r="J7" s="6" t="n">
        <v>13</v>
      </c>
      <c r="K7" s="5" t="s">
        <v>76</v>
      </c>
      <c r="L7" s="5" t="n">
        <f aca="false">IF($K7="",0,LEN($K7)-LEN(SUBSTITUTE($K7,",",""))+1)</f>
        <v>1</v>
      </c>
      <c r="M7" s="5" t="s">
        <v>35</v>
      </c>
      <c r="N7" s="5" t="str">
        <f aca="false">TRIM($A7&amp;" "&amp;IF($C7="",$R7,$C7&amp;" "&amp;$D7&amp;" "&amp;$E7&amp;" "&amp;$F7))</f>
        <v>Augusta Liquors Inc 823 CABELA DRIVE Augusta GA 30909</v>
      </c>
      <c r="O7" s="5" t="str">
        <f aca="false">IF($P7&lt;&gt;"","Exclude",IF(AND($M7&lt;&gt;"Full address",$R7=""),"Needs address",IF($J7&lt;0.5,"Hold - low volume",IF(LEFT($W7,3)="Low","Verify address",IF($G7="Needs review","Needs premise review",IF($X7="Estimated","Ready - address estimated","Ready"))))))</f>
        <v>Ready</v>
      </c>
      <c r="P7" s="5"/>
      <c r="Q7" s="5" t="s">
        <v>36</v>
      </c>
      <c r="R7" s="5"/>
      <c r="S7" s="5"/>
      <c r="T7" s="7"/>
      <c r="U7" s="7"/>
      <c r="V7" s="5"/>
      <c r="W7" s="5"/>
      <c r="X7" s="5" t="s">
        <v>37</v>
      </c>
      <c r="Y7" s="8" t="str">
        <f aca="false">IF($C7&lt;&gt;"",TRIM($C7&amp;", "&amp;$D7&amp;", "&amp;$E7&amp;" "&amp;$F7),IF($R7&lt;&gt;"",$R7,IF($D7&lt;&gt;"",$D7&amp;", "&amp;$E7,$I7)))</f>
        <v>823 CABELA DRIVE, Augusta, GA 30909</v>
      </c>
    </row>
    <row r="8" customFormat="false" ht="15" hidden="false" customHeight="true" outlineLevel="0" collapsed="false">
      <c r="A8" s="5" t="s">
        <v>77</v>
      </c>
      <c r="B8" s="5" t="s">
        <v>78</v>
      </c>
      <c r="C8" s="5" t="s">
        <v>79</v>
      </c>
      <c r="D8" s="5" t="s">
        <v>80</v>
      </c>
      <c r="E8" s="5" t="s">
        <v>29</v>
      </c>
      <c r="F8" s="5" t="s">
        <v>81</v>
      </c>
      <c r="G8" s="5" t="s">
        <v>31</v>
      </c>
      <c r="H8" s="5" t="s">
        <v>32</v>
      </c>
      <c r="I8" s="5" t="s">
        <v>33</v>
      </c>
      <c r="J8" s="6" t="n">
        <v>13</v>
      </c>
      <c r="K8" s="5" t="s">
        <v>63</v>
      </c>
      <c r="L8" s="5" t="n">
        <f aca="false">IF($K8="",0,LEN($K8)-LEN(SUBSTITUTE($K8,",",""))+1)</f>
        <v>2</v>
      </c>
      <c r="M8" s="5" t="s">
        <v>35</v>
      </c>
      <c r="N8" s="5" t="str">
        <f aca="false">TRIM($A8&amp;" "&amp;IF($C8="",$R8,$C8&amp;" "&amp;$D8&amp;" "&amp;$E8&amp;" "&amp;$F8))</f>
        <v>Beverage Outlet 247 BOBBY JONES EXPY Martinez GA 30907</v>
      </c>
      <c r="O8" s="5" t="str">
        <f aca="false">IF($P8&lt;&gt;"","Exclude",IF(AND($M8&lt;&gt;"Full address",$R8=""),"Needs address",IF($J8&lt;0.5,"Hold - low volume",IF(LEFT($W8,3)="Low","Verify address",IF($G8="Needs review","Needs premise review",IF($X8="Estimated","Ready - address estimated","Ready"))))))</f>
        <v>Ready</v>
      </c>
      <c r="P8" s="5"/>
      <c r="Q8" s="5" t="s">
        <v>36</v>
      </c>
      <c r="R8" s="5"/>
      <c r="S8" s="5"/>
      <c r="T8" s="7"/>
      <c r="U8" s="7"/>
      <c r="V8" s="5"/>
      <c r="W8" s="5"/>
      <c r="X8" s="5" t="s">
        <v>37</v>
      </c>
      <c r="Y8" s="8" t="str">
        <f aca="false">IF($C8&lt;&gt;"",TRIM($C8&amp;", "&amp;$D8&amp;", "&amp;$E8&amp;" "&amp;$F8),IF($R8&lt;&gt;"",$R8,IF($D8&lt;&gt;"",$D8&amp;", "&amp;$E8,$I8)))</f>
        <v>247 BOBBY JONES EXPY, Martinez, GA 30907</v>
      </c>
    </row>
    <row r="9" customFormat="false" ht="15" hidden="false" customHeight="true" outlineLevel="0" collapsed="false">
      <c r="A9" s="5" t="s">
        <v>82</v>
      </c>
      <c r="B9" s="5" t="s">
        <v>83</v>
      </c>
      <c r="C9" s="5" t="s">
        <v>84</v>
      </c>
      <c r="D9" s="5" t="s">
        <v>85</v>
      </c>
      <c r="E9" s="5" t="s">
        <v>29</v>
      </c>
      <c r="F9" s="5" t="s">
        <v>86</v>
      </c>
      <c r="G9" s="5" t="s">
        <v>31</v>
      </c>
      <c r="H9" s="5" t="s">
        <v>32</v>
      </c>
      <c r="I9" s="5" t="s">
        <v>33</v>
      </c>
      <c r="J9" s="6" t="n">
        <v>13</v>
      </c>
      <c r="K9" s="5" t="s">
        <v>87</v>
      </c>
      <c r="L9" s="5" t="n">
        <f aca="false">IF($K9="",0,LEN($K9)-LEN(SUBSTITUTE($K9,",",""))+1)</f>
        <v>5</v>
      </c>
      <c r="M9" s="5" t="s">
        <v>35</v>
      </c>
      <c r="N9" s="5" t="str">
        <f aca="false">TRIM($A9&amp;" "&amp;IF($C9="",$R9,$C9&amp;" "&amp;$D9&amp;" "&amp;$E9&amp;" "&amp;$F9))</f>
        <v>Dacula Cork and Bottle 2200 Hurricane Shoal Dacula GA 30019</v>
      </c>
      <c r="O9" s="5" t="str">
        <f aca="false">IF($P9&lt;&gt;"","Exclude",IF(AND($M9&lt;&gt;"Full address",$R9=""),"Needs address",IF($J9&lt;0.5,"Hold - low volume",IF(LEFT($W9,3)="Low","Verify address",IF($G9="Needs review","Needs premise review",IF($X9="Estimated","Ready - address estimated","Ready"))))))</f>
        <v>Ready</v>
      </c>
      <c r="P9" s="5"/>
      <c r="Q9" s="5" t="s">
        <v>36</v>
      </c>
      <c r="R9" s="5"/>
      <c r="S9" s="5"/>
      <c r="T9" s="7"/>
      <c r="U9" s="7"/>
      <c r="V9" s="5"/>
      <c r="W9" s="5"/>
      <c r="X9" s="5" t="s">
        <v>37</v>
      </c>
      <c r="Y9" s="8" t="str">
        <f aca="false">IF($C9&lt;&gt;"",TRIM($C9&amp;", "&amp;$D9&amp;", "&amp;$E9&amp;" "&amp;$F9),IF($R9&lt;&gt;"",$R9,IF($D9&lt;&gt;"",$D9&amp;", "&amp;$E9,$I9)))</f>
        <v>2200 Hurricane Shoal, Dacula, GA 30019</v>
      </c>
    </row>
    <row r="10" customFormat="false" ht="15" hidden="false" customHeight="true" outlineLevel="0" collapsed="false">
      <c r="A10" s="5" t="s">
        <v>88</v>
      </c>
      <c r="B10" s="5" t="s">
        <v>89</v>
      </c>
      <c r="C10" s="5" t="s">
        <v>90</v>
      </c>
      <c r="D10" s="5" t="s">
        <v>91</v>
      </c>
      <c r="E10" s="5" t="s">
        <v>29</v>
      </c>
      <c r="F10" s="5" t="s">
        <v>92</v>
      </c>
      <c r="G10" s="5" t="s">
        <v>31</v>
      </c>
      <c r="H10" s="5" t="s">
        <v>32</v>
      </c>
      <c r="I10" s="5" t="s">
        <v>33</v>
      </c>
      <c r="J10" s="6" t="n">
        <v>13</v>
      </c>
      <c r="K10" s="5" t="s">
        <v>34</v>
      </c>
      <c r="L10" s="5" t="n">
        <f aca="false">IF($K10="",0,LEN($K10)-LEN(SUBSTITUTE($K10,",",""))+1)</f>
        <v>3</v>
      </c>
      <c r="M10" s="5" t="s">
        <v>35</v>
      </c>
      <c r="N10" s="5" t="str">
        <f aca="false">TRIM($A10&amp;" "&amp;IF($C10="",$R10,$C10&amp;" "&amp;$D10&amp;" "&amp;$E10&amp;" "&amp;$F10))</f>
        <v>J&amp;J Package Store 3568 Wesley Chapel Rd Decatur GA 30034</v>
      </c>
      <c r="O10" s="5" t="str">
        <f aca="false">IF($P10&lt;&gt;"","Exclude",IF(AND($M10&lt;&gt;"Full address",$R10=""),"Needs address",IF($J10&lt;0.5,"Hold - low volume",IF(LEFT($W10,3)="Low","Verify address",IF($G10="Needs review","Needs premise review",IF($X10="Estimated","Ready - address estimated","Ready"))))))</f>
        <v>Ready</v>
      </c>
      <c r="P10" s="5"/>
      <c r="Q10" s="5" t="s">
        <v>36</v>
      </c>
      <c r="R10" s="5"/>
      <c r="S10" s="5"/>
      <c r="T10" s="7"/>
      <c r="U10" s="7"/>
      <c r="V10" s="5"/>
      <c r="W10" s="5"/>
      <c r="X10" s="5" t="s">
        <v>37</v>
      </c>
      <c r="Y10" s="8" t="str">
        <f aca="false">IF($C10&lt;&gt;"",TRIM($C10&amp;", "&amp;$D10&amp;", "&amp;$E10&amp;" "&amp;$F10),IF($R10&lt;&gt;"",$R10,IF($D10&lt;&gt;"",$D10&amp;", "&amp;$E10,$I10)))</f>
        <v>3568 Wesley Chapel Rd, Decatur, GA 30034</v>
      </c>
    </row>
    <row r="11" customFormat="false" ht="15" hidden="false" customHeight="true" outlineLevel="0" collapsed="false">
      <c r="A11" s="5" t="s">
        <v>93</v>
      </c>
      <c r="B11" s="5" t="s">
        <v>94</v>
      </c>
      <c r="C11" s="5" t="s">
        <v>95</v>
      </c>
      <c r="D11" s="5" t="s">
        <v>96</v>
      </c>
      <c r="E11" s="5" t="s">
        <v>29</v>
      </c>
      <c r="F11" s="5" t="s">
        <v>97</v>
      </c>
      <c r="G11" s="5" t="s">
        <v>31</v>
      </c>
      <c r="H11" s="5" t="s">
        <v>32</v>
      </c>
      <c r="I11" s="5" t="s">
        <v>33</v>
      </c>
      <c r="J11" s="6" t="n">
        <v>13</v>
      </c>
      <c r="K11" s="5" t="s">
        <v>63</v>
      </c>
      <c r="L11" s="5" t="n">
        <f aca="false">IF($K11="",0,LEN($K11)-LEN(SUBSTITUTE($K11,",",""))+1)</f>
        <v>2</v>
      </c>
      <c r="M11" s="5" t="s">
        <v>35</v>
      </c>
      <c r="N11" s="5" t="str">
        <f aca="false">TRIM($A11&amp;" "&amp;IF($C11="",$R11,$C11&amp;" "&amp;$D11&amp;" "&amp;$E11&amp;" "&amp;$F11))</f>
        <v>LIQUOR LOFT 2541 BEMISS RD Valdosta GA 31602</v>
      </c>
      <c r="O11" s="5" t="str">
        <f aca="false">IF($P11&lt;&gt;"","Exclude",IF(AND($M11&lt;&gt;"Full address",$R11=""),"Needs address",IF($J11&lt;0.5,"Hold - low volume",IF(LEFT($W11,3)="Low","Verify address",IF($G11="Needs review","Needs premise review",IF($X11="Estimated","Ready - address estimated","Ready"))))))</f>
        <v>Ready</v>
      </c>
      <c r="P11" s="5"/>
      <c r="Q11" s="5" t="s">
        <v>36</v>
      </c>
      <c r="R11" s="5"/>
      <c r="S11" s="5"/>
      <c r="T11" s="7"/>
      <c r="U11" s="7"/>
      <c r="V11" s="5"/>
      <c r="W11" s="5"/>
      <c r="X11" s="5" t="s">
        <v>37</v>
      </c>
      <c r="Y11" s="8" t="str">
        <f aca="false">IF($C11&lt;&gt;"",TRIM($C11&amp;", "&amp;$D11&amp;", "&amp;$E11&amp;" "&amp;$F11),IF($R11&lt;&gt;"",$R11,IF($D11&lt;&gt;"",$D11&amp;", "&amp;$E11,$I11)))</f>
        <v>2541 BEMISS RD, Valdosta, GA 31602</v>
      </c>
    </row>
    <row r="12" customFormat="false" ht="15" hidden="false" customHeight="true" outlineLevel="0" collapsed="false">
      <c r="A12" s="5" t="s">
        <v>98</v>
      </c>
      <c r="B12" s="5" t="s">
        <v>99</v>
      </c>
      <c r="C12" s="5" t="s">
        <v>100</v>
      </c>
      <c r="D12" s="5" t="s">
        <v>101</v>
      </c>
      <c r="E12" s="5" t="s">
        <v>29</v>
      </c>
      <c r="F12" s="5" t="s">
        <v>102</v>
      </c>
      <c r="G12" s="5" t="s">
        <v>31</v>
      </c>
      <c r="H12" s="5" t="s">
        <v>32</v>
      </c>
      <c r="I12" s="5" t="s">
        <v>33</v>
      </c>
      <c r="J12" s="6" t="n">
        <v>13</v>
      </c>
      <c r="K12" s="5" t="s">
        <v>34</v>
      </c>
      <c r="L12" s="5" t="n">
        <f aca="false">IF($K12="",0,LEN($K12)-LEN(SUBSTITUTE($K12,",",""))+1)</f>
        <v>3</v>
      </c>
      <c r="M12" s="5" t="s">
        <v>35</v>
      </c>
      <c r="N12" s="5" t="str">
        <f aca="false">TRIM($A12&amp;" "&amp;IF($C12="",$R12,$C12&amp;" "&amp;$D12&amp;" "&amp;$E12&amp;" "&amp;$F12))</f>
        <v>Mike's Package Store 2164 HIGHWAY 92 Douglasville GA 30135</v>
      </c>
      <c r="O12" s="5" t="str">
        <f aca="false">IF($P12&lt;&gt;"","Exclude",IF(AND($M12&lt;&gt;"Full address",$R12=""),"Needs address",IF($J12&lt;0.5,"Hold - low volume",IF(LEFT($W12,3)="Low","Verify address",IF($G12="Needs review","Needs premise review",IF($X12="Estimated","Ready - address estimated","Ready"))))))</f>
        <v>Ready</v>
      </c>
      <c r="P12" s="5"/>
      <c r="Q12" s="5" t="s">
        <v>36</v>
      </c>
      <c r="R12" s="5"/>
      <c r="S12" s="5"/>
      <c r="T12" s="7"/>
      <c r="U12" s="7"/>
      <c r="V12" s="5"/>
      <c r="W12" s="5"/>
      <c r="X12" s="5" t="s">
        <v>37</v>
      </c>
      <c r="Y12" s="8" t="str">
        <f aca="false">IF($C12&lt;&gt;"",TRIM($C12&amp;", "&amp;$D12&amp;", "&amp;$E12&amp;" "&amp;$F12),IF($R12&lt;&gt;"",$R12,IF($D12&lt;&gt;"",$D12&amp;", "&amp;$E12,$I12)))</f>
        <v>2164 HIGHWAY 92, Douglasville, GA 30135</v>
      </c>
    </row>
    <row r="13" customFormat="false" ht="15" hidden="false" customHeight="true" outlineLevel="0" collapsed="false">
      <c r="A13" s="5" t="s">
        <v>103</v>
      </c>
      <c r="B13" s="5" t="s">
        <v>104</v>
      </c>
      <c r="C13" s="5" t="s">
        <v>105</v>
      </c>
      <c r="D13" s="5" t="s">
        <v>68</v>
      </c>
      <c r="E13" s="5" t="s">
        <v>29</v>
      </c>
      <c r="F13" s="5" t="s">
        <v>106</v>
      </c>
      <c r="G13" s="5" t="s">
        <v>31</v>
      </c>
      <c r="H13" s="5" t="s">
        <v>32</v>
      </c>
      <c r="I13" s="5" t="s">
        <v>33</v>
      </c>
      <c r="J13" s="6" t="n">
        <v>13</v>
      </c>
      <c r="K13" s="5" t="s">
        <v>76</v>
      </c>
      <c r="L13" s="5" t="n">
        <f aca="false">IF($K13="",0,LEN($K13)-LEN(SUBSTITUTE($K13,",",""))+1)</f>
        <v>1</v>
      </c>
      <c r="M13" s="5" t="s">
        <v>35</v>
      </c>
      <c r="N13" s="5" t="str">
        <f aca="false">TRIM($A13&amp;" "&amp;IF($C13="",$R13,$C13&amp;" "&amp;$D13&amp;" "&amp;$E13&amp;" "&amp;$F13))</f>
        <v>Sprayberry Bottle Shop #3 2692 Sandy Plains Rd Marietta GA 30066</v>
      </c>
      <c r="O13" s="5" t="str">
        <f aca="false">IF($P13&lt;&gt;"","Exclude",IF(AND($M13&lt;&gt;"Full address",$R13=""),"Needs address",IF($J13&lt;0.5,"Hold - low volume",IF(LEFT($W13,3)="Low","Verify address",IF($G13="Needs review","Needs premise review",IF($X13="Estimated","Ready - address estimated","Ready"))))))</f>
        <v>Ready</v>
      </c>
      <c r="P13" s="5"/>
      <c r="Q13" s="5" t="s">
        <v>36</v>
      </c>
      <c r="R13" s="5"/>
      <c r="S13" s="5"/>
      <c r="T13" s="7"/>
      <c r="U13" s="7"/>
      <c r="V13" s="5"/>
      <c r="W13" s="5"/>
      <c r="X13" s="5" t="s">
        <v>37</v>
      </c>
      <c r="Y13" s="8" t="str">
        <f aca="false">IF($C13&lt;&gt;"",TRIM($C13&amp;", "&amp;$D13&amp;", "&amp;$E13&amp;" "&amp;$F13),IF($R13&lt;&gt;"",$R13,IF($D13&lt;&gt;"",$D13&amp;", "&amp;$E13,$I13)))</f>
        <v>2692 Sandy Plains Rd, Marietta, GA 30066</v>
      </c>
    </row>
    <row r="14" customFormat="false" ht="15" hidden="false" customHeight="true" outlineLevel="0" collapsed="false">
      <c r="A14" s="5" t="s">
        <v>107</v>
      </c>
      <c r="B14" s="5" t="s">
        <v>108</v>
      </c>
      <c r="C14" s="5" t="s">
        <v>109</v>
      </c>
      <c r="D14" s="5" t="s">
        <v>110</v>
      </c>
      <c r="E14" s="5" t="s">
        <v>29</v>
      </c>
      <c r="F14" s="5" t="s">
        <v>111</v>
      </c>
      <c r="G14" s="5" t="s">
        <v>31</v>
      </c>
      <c r="H14" s="5" t="s">
        <v>32</v>
      </c>
      <c r="I14" s="5" t="s">
        <v>33</v>
      </c>
      <c r="J14" s="6" t="n">
        <v>13</v>
      </c>
      <c r="K14" s="5" t="s">
        <v>34</v>
      </c>
      <c r="L14" s="5" t="n">
        <f aca="false">IF($K14="",0,LEN($K14)-LEN(SUBSTITUTE($K14,",",""))+1)</f>
        <v>3</v>
      </c>
      <c r="M14" s="5" t="s">
        <v>35</v>
      </c>
      <c r="N14" s="5" t="str">
        <f aca="false">TRIM($A14&amp;" "&amp;IF($C14="",$R14,$C14&amp;" "&amp;$D14&amp;" "&amp;$E14&amp;" "&amp;$F14))</f>
        <v>Strong water package store 605 N Jeff Davis DR Fayetteville GA 30214</v>
      </c>
      <c r="O14" s="5" t="str">
        <f aca="false">IF($P14&lt;&gt;"","Exclude",IF(AND($M14&lt;&gt;"Full address",$R14=""),"Needs address",IF($J14&lt;0.5,"Hold - low volume",IF(LEFT($W14,3)="Low","Verify address",IF($G14="Needs review","Needs premise review",IF($X14="Estimated","Ready - address estimated","Ready"))))))</f>
        <v>Ready</v>
      </c>
      <c r="P14" s="5"/>
      <c r="Q14" s="5" t="s">
        <v>36</v>
      </c>
      <c r="R14" s="5"/>
      <c r="S14" s="5"/>
      <c r="T14" s="7"/>
      <c r="U14" s="7"/>
      <c r="V14" s="5"/>
      <c r="W14" s="5"/>
      <c r="X14" s="5" t="s">
        <v>37</v>
      </c>
      <c r="Y14" s="8" t="str">
        <f aca="false">IF($C14&lt;&gt;"",TRIM($C14&amp;", "&amp;$D14&amp;", "&amp;$E14&amp;" "&amp;$F14),IF($R14&lt;&gt;"",$R14,IF($D14&lt;&gt;"",$D14&amp;", "&amp;$E14,$I14)))</f>
        <v>605 N Jeff Davis DR, Fayetteville, GA 30214</v>
      </c>
    </row>
    <row r="15" customFormat="false" ht="15" hidden="false" customHeight="true" outlineLevel="0" collapsed="false">
      <c r="A15" s="5" t="s">
        <v>112</v>
      </c>
      <c r="B15" s="5" t="s">
        <v>113</v>
      </c>
      <c r="C15" s="5" t="s">
        <v>114</v>
      </c>
      <c r="D15" s="5" t="s">
        <v>115</v>
      </c>
      <c r="E15" s="5" t="s">
        <v>29</v>
      </c>
      <c r="F15" s="5" t="s">
        <v>116</v>
      </c>
      <c r="G15" s="5" t="s">
        <v>31</v>
      </c>
      <c r="H15" s="5" t="s">
        <v>32</v>
      </c>
      <c r="I15" s="5" t="s">
        <v>33</v>
      </c>
      <c r="J15" s="6" t="n">
        <v>12</v>
      </c>
      <c r="K15" s="5" t="s">
        <v>34</v>
      </c>
      <c r="L15" s="5" t="n">
        <f aca="false">IF($K15="",0,LEN($K15)-LEN(SUBSTITUTE($K15,",",""))+1)</f>
        <v>3</v>
      </c>
      <c r="M15" s="5" t="s">
        <v>35</v>
      </c>
      <c r="N15" s="5" t="str">
        <f aca="false">TRIM($A15&amp;" "&amp;IF($C15="",$R15,$C15&amp;" "&amp;$D15&amp;" "&amp;$E15&amp;" "&amp;$F15))</f>
        <v>Star Package Store 5065 Old National Hwy College Park GA 30349</v>
      </c>
      <c r="O15" s="5" t="str">
        <f aca="false">IF($P15&lt;&gt;"","Exclude",IF(AND($M15&lt;&gt;"Full address",$R15=""),"Needs address",IF($J15&lt;0.5,"Hold - low volume",IF(LEFT($W15,3)="Low","Verify address",IF($G15="Needs review","Needs premise review",IF($X15="Estimated","Ready - address estimated","Ready"))))))</f>
        <v>Ready</v>
      </c>
      <c r="P15" s="5"/>
      <c r="Q15" s="5" t="s">
        <v>36</v>
      </c>
      <c r="R15" s="5"/>
      <c r="S15" s="5"/>
      <c r="T15" s="7"/>
      <c r="U15" s="7"/>
      <c r="V15" s="5"/>
      <c r="W15" s="5"/>
      <c r="X15" s="5" t="s">
        <v>37</v>
      </c>
      <c r="Y15" s="8" t="str">
        <f aca="false">IF($C15&lt;&gt;"",TRIM($C15&amp;", "&amp;$D15&amp;", "&amp;$E15&amp;" "&amp;$F15),IF($R15&lt;&gt;"",$R15,IF($D15&lt;&gt;"",$D15&amp;", "&amp;$E15,$I15)))</f>
        <v>5065 Old National Hwy, College Park, GA 30349</v>
      </c>
    </row>
    <row r="16" customFormat="false" ht="15" hidden="false" customHeight="true" outlineLevel="0" collapsed="false">
      <c r="A16" s="5" t="s">
        <v>117</v>
      </c>
      <c r="B16" s="5" t="s">
        <v>118</v>
      </c>
      <c r="C16" s="5" t="s">
        <v>119</v>
      </c>
      <c r="D16" s="5" t="s">
        <v>120</v>
      </c>
      <c r="E16" s="5" t="s">
        <v>29</v>
      </c>
      <c r="F16" s="5" t="s">
        <v>121</v>
      </c>
      <c r="G16" s="5" t="s">
        <v>31</v>
      </c>
      <c r="H16" s="5" t="s">
        <v>32</v>
      </c>
      <c r="I16" s="5" t="s">
        <v>33</v>
      </c>
      <c r="J16" s="6" t="n">
        <v>12</v>
      </c>
      <c r="K16" s="5" t="s">
        <v>34</v>
      </c>
      <c r="L16" s="5" t="n">
        <f aca="false">IF($K16="",0,LEN($K16)-LEN(SUBSTITUTE($K16,",",""))+1)</f>
        <v>3</v>
      </c>
      <c r="M16" s="5" t="s">
        <v>35</v>
      </c>
      <c r="N16" s="5" t="str">
        <f aca="false">TRIM($A16&amp;" "&amp;IF($C16="",$R16,$C16&amp;" "&amp;$D16&amp;" "&amp;$E16&amp;" "&amp;$F16))</f>
        <v>Tower Beer, Wine &amp; Spirits #520 2161 Piedmont Rd NE Atlanta GA 30324</v>
      </c>
      <c r="O16" s="5" t="str">
        <f aca="false">IF($P16&lt;&gt;"","Exclude",IF(AND($M16&lt;&gt;"Full address",$R16=""),"Needs address",IF($J16&lt;0.5,"Hold - low volume",IF(LEFT($W16,3)="Low","Verify address",IF($G16="Needs review","Needs premise review",IF($X16="Estimated","Ready - address estimated","Ready"))))))</f>
        <v>Ready</v>
      </c>
      <c r="P16" s="5"/>
      <c r="Q16" s="5" t="s">
        <v>36</v>
      </c>
      <c r="R16" s="5"/>
      <c r="S16" s="5"/>
      <c r="T16" s="7"/>
      <c r="U16" s="7"/>
      <c r="V16" s="5"/>
      <c r="W16" s="5"/>
      <c r="X16" s="5" t="s">
        <v>37</v>
      </c>
      <c r="Y16" s="8" t="str">
        <f aca="false">IF($C16&lt;&gt;"",TRIM($C16&amp;", "&amp;$D16&amp;", "&amp;$E16&amp;" "&amp;$F16),IF($R16&lt;&gt;"",$R16,IF($D16&lt;&gt;"",$D16&amp;", "&amp;$E16,$I16)))</f>
        <v>2161 Piedmont Rd NE, Atlanta, GA 30324</v>
      </c>
    </row>
    <row r="17" customFormat="false" ht="15" hidden="false" customHeight="true" outlineLevel="0" collapsed="false">
      <c r="A17" s="5" t="s">
        <v>122</v>
      </c>
      <c r="B17" s="5" t="s">
        <v>123</v>
      </c>
      <c r="C17" s="5" t="s">
        <v>124</v>
      </c>
      <c r="D17" s="5" t="s">
        <v>120</v>
      </c>
      <c r="E17" s="5" t="s">
        <v>29</v>
      </c>
      <c r="F17" s="5" t="s">
        <v>125</v>
      </c>
      <c r="G17" s="5" t="s">
        <v>31</v>
      </c>
      <c r="H17" s="5" t="s">
        <v>32</v>
      </c>
      <c r="I17" s="5" t="s">
        <v>33</v>
      </c>
      <c r="J17" s="6" t="n">
        <v>12</v>
      </c>
      <c r="K17" s="5" t="s">
        <v>63</v>
      </c>
      <c r="L17" s="5" t="n">
        <f aca="false">IF($K17="",0,LEN($K17)-LEN(SUBSTITUTE($K17,",",""))+1)</f>
        <v>2</v>
      </c>
      <c r="M17" s="5" t="s">
        <v>35</v>
      </c>
      <c r="N17" s="5" t="str">
        <f aca="false">TRIM($A17&amp;" "&amp;IF($C17="",$R17,$C17&amp;" "&amp;$D17&amp;" "&amp;$E17&amp;" "&amp;$F17))</f>
        <v>Westside Package Store 3285 M L KING JR DR Atlanta GA 30311</v>
      </c>
      <c r="O17" s="5" t="str">
        <f aca="false">IF($P17&lt;&gt;"","Exclude",IF(AND($M17&lt;&gt;"Full address",$R17=""),"Needs address",IF($J17&lt;0.5,"Hold - low volume",IF(LEFT($W17,3)="Low","Verify address",IF($G17="Needs review","Needs premise review",IF($X17="Estimated","Ready - address estimated","Ready"))))))</f>
        <v>Ready</v>
      </c>
      <c r="P17" s="5"/>
      <c r="Q17" s="5" t="s">
        <v>36</v>
      </c>
      <c r="R17" s="5"/>
      <c r="S17" s="5"/>
      <c r="T17" s="7"/>
      <c r="U17" s="7"/>
      <c r="V17" s="5"/>
      <c r="W17" s="5"/>
      <c r="X17" s="5" t="s">
        <v>37</v>
      </c>
      <c r="Y17" s="8" t="str">
        <f aca="false">IF($C17&lt;&gt;"",TRIM($C17&amp;", "&amp;$D17&amp;", "&amp;$E17&amp;" "&amp;$F17),IF($R17&lt;&gt;"",$R17,IF($D17&lt;&gt;"",$D17&amp;", "&amp;$E17,$I17)))</f>
        <v>3285 M L KING JR DR, Atlanta, GA 30311</v>
      </c>
    </row>
    <row r="18" customFormat="false" ht="15" hidden="false" customHeight="true" outlineLevel="0" collapsed="false">
      <c r="A18" s="5" t="s">
        <v>126</v>
      </c>
      <c r="B18" s="5" t="s">
        <v>127</v>
      </c>
      <c r="C18" s="5" t="s">
        <v>128</v>
      </c>
      <c r="D18" s="5" t="s">
        <v>129</v>
      </c>
      <c r="E18" s="5" t="s">
        <v>29</v>
      </c>
      <c r="F18" s="5" t="s">
        <v>130</v>
      </c>
      <c r="G18" s="5" t="s">
        <v>31</v>
      </c>
      <c r="H18" s="5" t="s">
        <v>32</v>
      </c>
      <c r="I18" s="5" t="s">
        <v>33</v>
      </c>
      <c r="J18" s="6" t="n">
        <v>11</v>
      </c>
      <c r="K18" s="5" t="s">
        <v>34</v>
      </c>
      <c r="L18" s="5" t="n">
        <f aca="false">IF($K18="",0,LEN($K18)-LEN(SUBSTITUTE($K18,",",""))+1)</f>
        <v>3</v>
      </c>
      <c r="M18" s="5" t="s">
        <v>35</v>
      </c>
      <c r="N18" s="5" t="str">
        <f aca="false">TRIM($A18&amp;" "&amp;IF($C18="",$R18,$C18&amp;" "&amp;$D18&amp;" "&amp;$E18&amp;" "&amp;$F18))</f>
        <v>Mega Package Store 2820 Lawrenceville-Suwanee Rd Suwanee GA 30024</v>
      </c>
      <c r="O18" s="5" t="str">
        <f aca="false">IF($P18&lt;&gt;"","Exclude",IF(AND($M18&lt;&gt;"Full address",$R18=""),"Needs address",IF($J18&lt;0.5,"Hold - low volume",IF(LEFT($W18,3)="Low","Verify address",IF($G18="Needs review","Needs premise review",IF($X18="Estimated","Ready - address estimated","Ready"))))))</f>
        <v>Ready</v>
      </c>
      <c r="P18" s="5"/>
      <c r="Q18" s="5" t="s">
        <v>36</v>
      </c>
      <c r="R18" s="5"/>
      <c r="S18" s="5"/>
      <c r="T18" s="7"/>
      <c r="U18" s="7"/>
      <c r="V18" s="5"/>
      <c r="W18" s="5"/>
      <c r="X18" s="5" t="s">
        <v>37</v>
      </c>
      <c r="Y18" s="8" t="str">
        <f aca="false">IF($C18&lt;&gt;"",TRIM($C18&amp;", "&amp;$D18&amp;", "&amp;$E18&amp;" "&amp;$F18),IF($R18&lt;&gt;"",$R18,IF($D18&lt;&gt;"",$D18&amp;", "&amp;$E18,$I18)))</f>
        <v>2820 Lawrenceville-Suwanee Rd, Suwanee, GA 30024</v>
      </c>
    </row>
    <row r="19" customFormat="false" ht="15" hidden="false" customHeight="true" outlineLevel="0" collapsed="false">
      <c r="A19" s="5" t="s">
        <v>131</v>
      </c>
      <c r="B19" s="5" t="s">
        <v>131</v>
      </c>
      <c r="C19" s="5"/>
      <c r="D19" s="5" t="s">
        <v>132</v>
      </c>
      <c r="E19" s="5" t="s">
        <v>40</v>
      </c>
      <c r="F19" s="5"/>
      <c r="G19" s="5" t="s">
        <v>31</v>
      </c>
      <c r="H19" s="5" t="s">
        <v>41</v>
      </c>
      <c r="I19" s="5" t="s">
        <v>42</v>
      </c>
      <c r="J19" s="6" t="n">
        <v>10</v>
      </c>
      <c r="K19" s="5" t="s">
        <v>87</v>
      </c>
      <c r="L19" s="5" t="n">
        <f aca="false">IF($K19="",0,LEN($K19)-LEN(SUBSTITUTE($K19,",",""))+1)</f>
        <v>5</v>
      </c>
      <c r="M19" s="5" t="s">
        <v>44</v>
      </c>
      <c r="N19" s="5" t="str">
        <f aca="false">TRIM($A19&amp;" "&amp;IF($C19="",$R19,$C19&amp;" "&amp;$D19&amp;" "&amp;$E19&amp;" "&amp;$F19))</f>
        <v>Goody Goody #04 3500 Lakeview Pkwy #100, Rowlett, TX 75088</v>
      </c>
      <c r="O19" s="5" t="str">
        <f aca="false">IF($P19&lt;&gt;"","Exclude",IF(AND($M19&lt;&gt;"Full address",$R19=""),"Needs address",IF($J19&lt;0.5,"Hold - low volume",IF(LEFT($W19,3)="Low","Verify address",IF($G19="Needs review","Needs premise review",IF($X19="Estimated","Ready - address estimated","Ready"))))))</f>
        <v>Ready - address estimated</v>
      </c>
      <c r="P19" s="5"/>
      <c r="Q19" s="5" t="s">
        <v>45</v>
      </c>
      <c r="R19" s="5" t="s">
        <v>133</v>
      </c>
      <c r="S19" s="5" t="s">
        <v>47</v>
      </c>
      <c r="T19" s="7" t="n">
        <v>32.9063269</v>
      </c>
      <c r="U19" s="7" t="n">
        <v>-96.5685996</v>
      </c>
      <c r="V19" s="5" t="s">
        <v>134</v>
      </c>
      <c r="W19" s="5" t="s">
        <v>49</v>
      </c>
      <c r="X19" s="5" t="s">
        <v>50</v>
      </c>
      <c r="Y19" s="8" t="str">
        <f aca="false">IF($C19&lt;&gt;"",TRIM($C19&amp;", "&amp;$D19&amp;", "&amp;$E19&amp;" "&amp;$F19),IF($R19&lt;&gt;"",$R19,IF($D19&lt;&gt;"",$D19&amp;", "&amp;$E19,$I19)))</f>
        <v>3500 Lakeview Pkwy #100, Rowlett, TX 75088</v>
      </c>
    </row>
    <row r="20" customFormat="false" ht="15" hidden="false" customHeight="true" outlineLevel="0" collapsed="false">
      <c r="A20" s="5" t="s">
        <v>135</v>
      </c>
      <c r="B20" s="5" t="s">
        <v>136</v>
      </c>
      <c r="C20" s="5" t="s">
        <v>137</v>
      </c>
      <c r="D20" s="5" t="s">
        <v>120</v>
      </c>
      <c r="E20" s="5" t="s">
        <v>29</v>
      </c>
      <c r="F20" s="5" t="s">
        <v>138</v>
      </c>
      <c r="G20" s="5" t="s">
        <v>31</v>
      </c>
      <c r="H20" s="5" t="s">
        <v>32</v>
      </c>
      <c r="I20" s="5" t="s">
        <v>33</v>
      </c>
      <c r="J20" s="6" t="n">
        <v>9</v>
      </c>
      <c r="K20" s="5" t="s">
        <v>43</v>
      </c>
      <c r="L20" s="5" t="n">
        <f aca="false">IF($K20="",0,LEN($K20)-LEN(SUBSTITUTE($K20,",",""))+1)</f>
        <v>4</v>
      </c>
      <c r="M20" s="5" t="s">
        <v>35</v>
      </c>
      <c r="N20" s="5" t="str">
        <f aca="false">TRIM($A20&amp;" "&amp;IF($C20="",$R20,$C20&amp;" "&amp;$D20&amp;" "&amp;$E20&amp;" "&amp;$F20))</f>
        <v>Mac's Beer &amp; Wine/Midtown Liquor 21 Peachtree Pl NE Atlanta GA 30309</v>
      </c>
      <c r="O20" s="5" t="str">
        <f aca="false">IF($P20&lt;&gt;"","Exclude",IF(AND($M20&lt;&gt;"Full address",$R20=""),"Needs address",IF($J20&lt;0.5,"Hold - low volume",IF(LEFT($W20,3)="Low","Verify address",IF($G20="Needs review","Needs premise review",IF($X20="Estimated","Ready - address estimated","Ready"))))))</f>
        <v>Ready</v>
      </c>
      <c r="P20" s="5"/>
      <c r="Q20" s="5" t="s">
        <v>36</v>
      </c>
      <c r="R20" s="5"/>
      <c r="S20" s="5"/>
      <c r="T20" s="7"/>
      <c r="U20" s="7"/>
      <c r="V20" s="5"/>
      <c r="W20" s="5"/>
      <c r="X20" s="5" t="s">
        <v>37</v>
      </c>
      <c r="Y20" s="8" t="str">
        <f aca="false">IF($C20&lt;&gt;"",TRIM($C20&amp;", "&amp;$D20&amp;", "&amp;$E20&amp;" "&amp;$F20),IF($R20&lt;&gt;"",$R20,IF($D20&lt;&gt;"",$D20&amp;", "&amp;$E20,$I20)))</f>
        <v>21 Peachtree Pl NE, Atlanta, GA 30309</v>
      </c>
    </row>
    <row r="21" customFormat="false" ht="15" hidden="false" customHeight="true" outlineLevel="0" collapsed="false">
      <c r="A21" s="5" t="s">
        <v>139</v>
      </c>
      <c r="B21" s="5" t="s">
        <v>140</v>
      </c>
      <c r="C21" s="5" t="s">
        <v>141</v>
      </c>
      <c r="D21" s="5" t="s">
        <v>142</v>
      </c>
      <c r="E21" s="5" t="s">
        <v>29</v>
      </c>
      <c r="F21" s="5" t="s">
        <v>143</v>
      </c>
      <c r="G21" s="5" t="s">
        <v>144</v>
      </c>
      <c r="H21" s="5" t="s">
        <v>32</v>
      </c>
      <c r="I21" s="5" t="s">
        <v>33</v>
      </c>
      <c r="J21" s="6" t="n">
        <v>8</v>
      </c>
      <c r="K21" s="5" t="s">
        <v>76</v>
      </c>
      <c r="L21" s="5" t="n">
        <f aca="false">IF($K21="",0,LEN($K21)-LEN(SUBSTITUTE($K21,",",""))+1)</f>
        <v>1</v>
      </c>
      <c r="M21" s="5" t="s">
        <v>35</v>
      </c>
      <c r="N21" s="5" t="str">
        <f aca="false">TRIM($A21&amp;" "&amp;IF($C21="",$R21,$C21&amp;" "&amp;$D21&amp;" "&amp;$E21&amp;" "&amp;$F21))</f>
        <v>Golden Park 100 4th St Columbus GA 31901</v>
      </c>
      <c r="O21" s="5" t="str">
        <f aca="false">IF($P21&lt;&gt;"","Exclude",IF(AND($M21&lt;&gt;"Full address",$R21=""),"Needs address",IF($J21&lt;0.5,"Hold - low volume",IF(LEFT($W21,3)="Low","Verify address",IF($G21="Needs review","Needs premise review",IF($X21="Estimated","Ready - address estimated","Ready"))))))</f>
        <v>Needs premise review</v>
      </c>
      <c r="P21" s="5"/>
      <c r="Q21" s="5" t="s">
        <v>36</v>
      </c>
      <c r="R21" s="5"/>
      <c r="S21" s="5"/>
      <c r="T21" s="7"/>
      <c r="U21" s="7"/>
      <c r="V21" s="5"/>
      <c r="W21" s="5"/>
      <c r="X21" s="5" t="s">
        <v>37</v>
      </c>
      <c r="Y21" s="8" t="str">
        <f aca="false">IF($C21&lt;&gt;"",TRIM($C21&amp;", "&amp;$D21&amp;", "&amp;$E21&amp;" "&amp;$F21),IF($R21&lt;&gt;"",$R21,IF($D21&lt;&gt;"",$D21&amp;", "&amp;$E21,$I21)))</f>
        <v>100 4th St, Columbus, GA 31901</v>
      </c>
    </row>
    <row r="22" customFormat="false" ht="15" hidden="false" customHeight="true" outlineLevel="0" collapsed="false">
      <c r="A22" s="5" t="s">
        <v>145</v>
      </c>
      <c r="B22" s="5" t="s">
        <v>145</v>
      </c>
      <c r="C22" s="5"/>
      <c r="D22" s="5" t="s">
        <v>146</v>
      </c>
      <c r="E22" s="5" t="s">
        <v>147</v>
      </c>
      <c r="F22" s="5"/>
      <c r="G22" s="5" t="s">
        <v>31</v>
      </c>
      <c r="H22" s="5" t="s">
        <v>148</v>
      </c>
      <c r="I22" s="5" t="s">
        <v>149</v>
      </c>
      <c r="J22" s="6" t="n">
        <v>8</v>
      </c>
      <c r="K22" s="5" t="s">
        <v>70</v>
      </c>
      <c r="L22" s="5" t="n">
        <f aca="false">IF($K22="",0,LEN($K22)-LEN(SUBSTITUTE($K22,",",""))+1)</f>
        <v>4</v>
      </c>
      <c r="M22" s="5" t="s">
        <v>44</v>
      </c>
      <c r="N22" s="5" t="str">
        <f aca="false">TRIM($A22&amp;" "&amp;IF($C22="",$R22,$C22&amp;" "&amp;$D22&amp;" "&amp;$E22&amp;" "&amp;$F22))</f>
        <v>Crossroads ABC 1739 Springdale Rd, Lancaster, SC 29720</v>
      </c>
      <c r="O22" s="5" t="str">
        <f aca="false">IF($P22&lt;&gt;"","Exclude",IF(AND($M22&lt;&gt;"Full address",$R22=""),"Needs address",IF($J22&lt;0.5,"Hold - low volume",IF(LEFT($W22,3)="Low","Verify address",IF($G22="Needs review","Needs premise review",IF($X22="Estimated","Ready - address estimated","Ready"))))))</f>
        <v>Ready - address estimated</v>
      </c>
      <c r="P22" s="5"/>
      <c r="Q22" s="5" t="s">
        <v>150</v>
      </c>
      <c r="R22" s="5" t="s">
        <v>151</v>
      </c>
      <c r="S22" s="5" t="s">
        <v>152</v>
      </c>
      <c r="T22" s="7" t="n">
        <v>34.6933358</v>
      </c>
      <c r="U22" s="7" t="n">
        <v>-80.7887075</v>
      </c>
      <c r="V22" s="5" t="s">
        <v>153</v>
      </c>
      <c r="W22" s="5" t="s">
        <v>154</v>
      </c>
      <c r="X22" s="5" t="s">
        <v>50</v>
      </c>
      <c r="Y22" s="8" t="str">
        <f aca="false">IF($C22&lt;&gt;"",TRIM($C22&amp;", "&amp;$D22&amp;", "&amp;$E22&amp;" "&amp;$F22),IF($R22&lt;&gt;"",$R22,IF($D22&lt;&gt;"",$D22&amp;", "&amp;$E22,$I22)))</f>
        <v>1739 Springdale Rd, Lancaster, SC 29720</v>
      </c>
    </row>
    <row r="23" customFormat="false" ht="15" hidden="false" customHeight="true" outlineLevel="0" collapsed="false">
      <c r="A23" s="5" t="s">
        <v>155</v>
      </c>
      <c r="B23" s="5" t="s">
        <v>155</v>
      </c>
      <c r="C23" s="5"/>
      <c r="D23" s="5" t="s">
        <v>156</v>
      </c>
      <c r="E23" s="5" t="s">
        <v>40</v>
      </c>
      <c r="F23" s="5"/>
      <c r="G23" s="5" t="s">
        <v>31</v>
      </c>
      <c r="H23" s="5" t="s">
        <v>157</v>
      </c>
      <c r="I23" s="5" t="s">
        <v>42</v>
      </c>
      <c r="J23" s="6" t="n">
        <v>8</v>
      </c>
      <c r="K23" s="5" t="s">
        <v>63</v>
      </c>
      <c r="L23" s="5" t="n">
        <f aca="false">IF($K23="",0,LEN($K23)-LEN(SUBSTITUTE($K23,",",""))+1)</f>
        <v>2</v>
      </c>
      <c r="M23" s="5" t="s">
        <v>44</v>
      </c>
      <c r="N23" s="5" t="str">
        <f aca="false">TRIM($A23&amp;" "&amp;IF($C23="",$R23,$C23&amp;" "&amp;$D23&amp;" "&amp;$E23&amp;" "&amp;$F23))</f>
        <v>Goody Goody #44 22296 Market Pl Dr Ste 200, New Caney, TX 77357</v>
      </c>
      <c r="O23" s="5" t="str">
        <f aca="false">IF($P23&lt;&gt;"","Exclude",IF(AND($M23&lt;&gt;"Full address",$R23=""),"Needs address",IF($J23&lt;0.5,"Hold - low volume",IF(LEFT($W23,3)="Low","Verify address",IF($G23="Needs review","Needs premise review",IF($X23="Estimated","Ready - address estimated","Ready"))))))</f>
        <v>Ready - address estimated</v>
      </c>
      <c r="P23" s="5"/>
      <c r="Q23" s="5" t="s">
        <v>45</v>
      </c>
      <c r="R23" s="5" t="s">
        <v>158</v>
      </c>
      <c r="S23" s="5" t="s">
        <v>47</v>
      </c>
      <c r="T23" s="7" t="n">
        <v>30.1327854</v>
      </c>
      <c r="U23" s="7" t="n">
        <v>-95.2390076</v>
      </c>
      <c r="V23" s="5" t="s">
        <v>159</v>
      </c>
      <c r="W23" s="5" t="s">
        <v>49</v>
      </c>
      <c r="X23" s="5" t="s">
        <v>50</v>
      </c>
      <c r="Y23" s="8" t="str">
        <f aca="false">IF($C23&lt;&gt;"",TRIM($C23&amp;", "&amp;$D23&amp;", "&amp;$E23&amp;" "&amp;$F23),IF($R23&lt;&gt;"",$R23,IF($D23&lt;&gt;"",$D23&amp;", "&amp;$E23,$I23)))</f>
        <v>22296 Market Pl Dr Ste 200, New Caney, TX 77357</v>
      </c>
    </row>
    <row r="24" customFormat="false" ht="15" hidden="false" customHeight="true" outlineLevel="0" collapsed="false">
      <c r="A24" s="5" t="s">
        <v>160</v>
      </c>
      <c r="B24" s="5" t="s">
        <v>160</v>
      </c>
      <c r="C24" s="5"/>
      <c r="D24" s="5" t="s">
        <v>161</v>
      </c>
      <c r="E24" s="5" t="s">
        <v>147</v>
      </c>
      <c r="F24" s="5"/>
      <c r="G24" s="5" t="s">
        <v>31</v>
      </c>
      <c r="H24" s="5" t="s">
        <v>148</v>
      </c>
      <c r="I24" s="5" t="s">
        <v>149</v>
      </c>
      <c r="J24" s="6" t="n">
        <v>7</v>
      </c>
      <c r="K24" s="5" t="s">
        <v>43</v>
      </c>
      <c r="L24" s="5" t="n">
        <f aca="false">IF($K24="",0,LEN($K24)-LEN(SUBSTITUTE($K24,",",""))+1)</f>
        <v>4</v>
      </c>
      <c r="M24" s="5" t="s">
        <v>44</v>
      </c>
      <c r="N24" s="5" t="str">
        <f aca="false">TRIM($A24&amp;" "&amp;IF($C24="",$R24,$C24&amp;" "&amp;$D24&amp;" "&amp;$E24&amp;" "&amp;$F24))</f>
        <v>Greens Bev Myrtle 2850 N Kings Hwy, Myrtle Beach, SC 29577</v>
      </c>
      <c r="O24" s="5" t="str">
        <f aca="false">IF($P24&lt;&gt;"","Exclude",IF(AND($M24&lt;&gt;"Full address",$R24=""),"Needs address",IF($J24&lt;0.5,"Hold - low volume",IF(LEFT($W24,3)="Low","Verify address",IF($G24="Needs review","Needs premise review",IF($X24="Estimated","Ready - address estimated","Ready"))))))</f>
        <v>Ready - address estimated</v>
      </c>
      <c r="P24" s="5"/>
      <c r="Q24" s="5" t="s">
        <v>150</v>
      </c>
      <c r="R24" s="5" t="s">
        <v>162</v>
      </c>
      <c r="S24" s="5" t="s">
        <v>163</v>
      </c>
      <c r="T24" s="7" t="n">
        <v>33.708544</v>
      </c>
      <c r="U24" s="7" t="n">
        <v>-78.863754</v>
      </c>
      <c r="V24" s="5" t="s">
        <v>164</v>
      </c>
      <c r="W24" s="5" t="s">
        <v>165</v>
      </c>
      <c r="X24" s="5" t="s">
        <v>50</v>
      </c>
      <c r="Y24" s="8" t="str">
        <f aca="false">IF($C24&lt;&gt;"",TRIM($C24&amp;", "&amp;$D24&amp;", "&amp;$E24&amp;" "&amp;$F24),IF($R24&lt;&gt;"",$R24,IF($D24&lt;&gt;"",$D24&amp;", "&amp;$E24,$I24)))</f>
        <v>2850 N Kings Hwy, Myrtle Beach, SC 29577</v>
      </c>
    </row>
    <row r="25" customFormat="false" ht="15" hidden="false" customHeight="true" outlineLevel="0" collapsed="false">
      <c r="A25" s="5" t="s">
        <v>166</v>
      </c>
      <c r="B25" s="5" t="s">
        <v>166</v>
      </c>
      <c r="C25" s="5"/>
      <c r="D25" s="5" t="s">
        <v>167</v>
      </c>
      <c r="E25" s="5" t="s">
        <v>40</v>
      </c>
      <c r="F25" s="5"/>
      <c r="G25" s="5" t="s">
        <v>31</v>
      </c>
      <c r="H25" s="5" t="s">
        <v>41</v>
      </c>
      <c r="I25" s="5" t="s">
        <v>42</v>
      </c>
      <c r="J25" s="6" t="n">
        <v>7</v>
      </c>
      <c r="K25" s="5" t="s">
        <v>43</v>
      </c>
      <c r="L25" s="5" t="n">
        <f aca="false">IF($K25="",0,LEN($K25)-LEN(SUBSTITUTE($K25,",",""))+1)</f>
        <v>4</v>
      </c>
      <c r="M25" s="5" t="s">
        <v>44</v>
      </c>
      <c r="N25" s="5" t="str">
        <f aca="false">TRIM($A25&amp;" "&amp;IF($C25="",$R25,$C25&amp;" "&amp;$D25&amp;" "&amp;$E25&amp;" "&amp;$F25))</f>
        <v>Goody Goody #26 4701 Colleyville Blvd Suite 300, Colleyville, TX 76034</v>
      </c>
      <c r="O25" s="5" t="str">
        <f aca="false">IF($P25&lt;&gt;"","Exclude",IF(AND($M25&lt;&gt;"Full address",$R25=""),"Needs address",IF($J25&lt;0.5,"Hold - low volume",IF(LEFT($W25,3)="Low","Verify address",IF($G25="Needs review","Needs premise review",IF($X25="Estimated","Ready - address estimated","Ready"))))))</f>
        <v>Ready - address estimated</v>
      </c>
      <c r="P25" s="5"/>
      <c r="Q25" s="5" t="s">
        <v>45</v>
      </c>
      <c r="R25" s="5" t="s">
        <v>168</v>
      </c>
      <c r="S25" s="5" t="s">
        <v>47</v>
      </c>
      <c r="T25" s="7" t="n">
        <v>32.8780683</v>
      </c>
      <c r="U25" s="7" t="n">
        <v>-97.1570699</v>
      </c>
      <c r="V25" s="5" t="s">
        <v>169</v>
      </c>
      <c r="W25" s="5" t="s">
        <v>49</v>
      </c>
      <c r="X25" s="5" t="s">
        <v>50</v>
      </c>
      <c r="Y25" s="8" t="str">
        <f aca="false">IF($C25&lt;&gt;"",TRIM($C25&amp;", "&amp;$D25&amp;", "&amp;$E25&amp;" "&amp;$F25),IF($R25&lt;&gt;"",$R25,IF($D25&lt;&gt;"",$D25&amp;", "&amp;$E25,$I25)))</f>
        <v>4701 Colleyville Blvd Suite 300, Colleyville, TX 76034</v>
      </c>
    </row>
    <row r="26" customFormat="false" ht="15" hidden="false" customHeight="true" outlineLevel="0" collapsed="false">
      <c r="A26" s="5" t="s">
        <v>170</v>
      </c>
      <c r="B26" s="5" t="s">
        <v>170</v>
      </c>
      <c r="C26" s="5"/>
      <c r="D26" s="5" t="s">
        <v>171</v>
      </c>
      <c r="E26" s="5" t="s">
        <v>40</v>
      </c>
      <c r="F26" s="5"/>
      <c r="G26" s="5" t="s">
        <v>31</v>
      </c>
      <c r="H26" s="5" t="s">
        <v>41</v>
      </c>
      <c r="I26" s="5" t="s">
        <v>42</v>
      </c>
      <c r="J26" s="6" t="n">
        <v>7</v>
      </c>
      <c r="K26" s="5" t="s">
        <v>43</v>
      </c>
      <c r="L26" s="5" t="n">
        <f aca="false">IF($K26="",0,LEN($K26)-LEN(SUBSTITUTE($K26,",",""))+1)</f>
        <v>4</v>
      </c>
      <c r="M26" s="5" t="s">
        <v>44</v>
      </c>
      <c r="N26" s="5" t="str">
        <f aca="false">TRIM($A26&amp;" "&amp;IF($C26="",$R26,$C26&amp;" "&amp;$D26&amp;" "&amp;$E26&amp;" "&amp;$F26))</f>
        <v>Liquor Depot (KMY) Glenn Heights 1308 E Bear Creek Rd #130, Glenn Heights, TX 75154</v>
      </c>
      <c r="O26" s="5" t="str">
        <f aca="false">IF($P26&lt;&gt;"","Exclude",IF(AND($M26&lt;&gt;"Full address",$R26=""),"Needs address",IF($J26&lt;0.5,"Hold - low volume",IF(LEFT($W26,3)="Low","Verify address",IF($G26="Needs review","Needs premise review",IF($X26="Estimated","Ready - address estimated","Ready"))))))</f>
        <v>Ready - address estimated</v>
      </c>
      <c r="P26" s="5"/>
      <c r="Q26" s="5" t="s">
        <v>45</v>
      </c>
      <c r="R26" s="5" t="s">
        <v>172</v>
      </c>
      <c r="S26" s="5" t="s">
        <v>173</v>
      </c>
      <c r="T26" s="7" t="n">
        <v>32.5596822</v>
      </c>
      <c r="U26" s="7" t="n">
        <v>-96.824347</v>
      </c>
      <c r="V26" s="5" t="s">
        <v>174</v>
      </c>
      <c r="W26" s="5" t="s">
        <v>154</v>
      </c>
      <c r="X26" s="5" t="s">
        <v>50</v>
      </c>
      <c r="Y26" s="8" t="str">
        <f aca="false">IF($C26&lt;&gt;"",TRIM($C26&amp;", "&amp;$D26&amp;", "&amp;$E26&amp;" "&amp;$F26),IF($R26&lt;&gt;"",$R26,IF($D26&lt;&gt;"",$D26&amp;", "&amp;$E26,$I26)))</f>
        <v>1308 E Bear Creek Rd #130, Glenn Heights, TX 75154</v>
      </c>
    </row>
    <row r="27" customFormat="false" ht="15" hidden="false" customHeight="true" outlineLevel="0" collapsed="false">
      <c r="A27" s="5" t="s">
        <v>175</v>
      </c>
      <c r="B27" s="5" t="s">
        <v>176</v>
      </c>
      <c r="C27" s="5" t="s">
        <v>177</v>
      </c>
      <c r="D27" s="5" t="s">
        <v>178</v>
      </c>
      <c r="E27" s="5" t="s">
        <v>29</v>
      </c>
      <c r="F27" s="5" t="s">
        <v>179</v>
      </c>
      <c r="G27" s="5" t="s">
        <v>31</v>
      </c>
      <c r="H27" s="5" t="s">
        <v>32</v>
      </c>
      <c r="I27" s="5" t="s">
        <v>33</v>
      </c>
      <c r="J27" s="6" t="n">
        <v>6.01</v>
      </c>
      <c r="K27" s="5" t="s">
        <v>34</v>
      </c>
      <c r="L27" s="5" t="n">
        <f aca="false">IF($K27="",0,LEN($K27)-LEN(SUBSTITUTE($K27,",",""))+1)</f>
        <v>3</v>
      </c>
      <c r="M27" s="5" t="s">
        <v>35</v>
      </c>
      <c r="N27" s="5" t="str">
        <f aca="false">TRIM($A27&amp;" "&amp;IF($C27="",$R27,$C27&amp;" "&amp;$D27&amp;" "&amp;$E27&amp;" "&amp;$F27))</f>
        <v>Kings Liquor #436 2699 N COBB PARKWAY Kennesaw GA 30152</v>
      </c>
      <c r="O27" s="5" t="str">
        <f aca="false">IF($P27&lt;&gt;"","Exclude",IF(AND($M27&lt;&gt;"Full address",$R27=""),"Needs address",IF($J27&lt;0.5,"Hold - low volume",IF(LEFT($W27,3)="Low","Verify address",IF($G27="Needs review","Needs premise review",IF($X27="Estimated","Ready - address estimated","Ready"))))))</f>
        <v>Ready</v>
      </c>
      <c r="P27" s="5"/>
      <c r="Q27" s="5" t="s">
        <v>36</v>
      </c>
      <c r="R27" s="5"/>
      <c r="S27" s="5"/>
      <c r="T27" s="7"/>
      <c r="U27" s="7"/>
      <c r="V27" s="5"/>
      <c r="W27" s="5"/>
      <c r="X27" s="5" t="s">
        <v>37</v>
      </c>
      <c r="Y27" s="8" t="str">
        <f aca="false">IF($C27&lt;&gt;"",TRIM($C27&amp;", "&amp;$D27&amp;", "&amp;$E27&amp;" "&amp;$F27),IF($R27&lt;&gt;"",$R27,IF($D27&lt;&gt;"",$D27&amp;", "&amp;$E27,$I27)))</f>
        <v>2699 N COBB PARKWAY, Kennesaw, GA 30152</v>
      </c>
    </row>
    <row r="28" customFormat="false" ht="15" hidden="false" customHeight="true" outlineLevel="0" collapsed="false">
      <c r="A28" s="5" t="s">
        <v>180</v>
      </c>
      <c r="B28" s="5" t="s">
        <v>180</v>
      </c>
      <c r="C28" s="5"/>
      <c r="D28" s="5" t="s">
        <v>181</v>
      </c>
      <c r="E28" s="5" t="s">
        <v>182</v>
      </c>
      <c r="F28" s="5"/>
      <c r="G28" s="5" t="s">
        <v>31</v>
      </c>
      <c r="H28" s="5" t="s">
        <v>183</v>
      </c>
      <c r="I28" s="5" t="s">
        <v>184</v>
      </c>
      <c r="J28" s="6" t="n">
        <v>6</v>
      </c>
      <c r="K28" s="5" t="s">
        <v>34</v>
      </c>
      <c r="L28" s="5" t="n">
        <f aca="false">IF($K28="",0,LEN($K28)-LEN(SUBSTITUTE($K28,",",""))+1)</f>
        <v>3</v>
      </c>
      <c r="M28" s="5" t="s">
        <v>44</v>
      </c>
      <c r="N28" s="5" t="str">
        <f aca="false">TRIM($A28&amp;" "&amp;IF($C28="",$R28,$C28&amp;" "&amp;$D28&amp;" "&amp;$E28&amp;" "&amp;$F28))</f>
        <v>Kings Liquor 7562 US-192, Kissimmee, FL 34747</v>
      </c>
      <c r="O28" s="5" t="str">
        <f aca="false">IF($P28&lt;&gt;"","Exclude",IF(AND($M28&lt;&gt;"Full address",$R28=""),"Needs address",IF($J28&lt;0.5,"Hold - low volume",IF(LEFT($W28,3)="Low","Verify address",IF($G28="Needs review","Needs premise review",IF($X28="Estimated","Ready - address estimated","Ready"))))))</f>
        <v>Ready - address estimated</v>
      </c>
      <c r="P28" s="5"/>
      <c r="Q28" s="5" t="s">
        <v>185</v>
      </c>
      <c r="R28" s="5" t="s">
        <v>186</v>
      </c>
      <c r="S28" s="5" t="s">
        <v>180</v>
      </c>
      <c r="T28" s="7" t="n">
        <v>28.3330057</v>
      </c>
      <c r="U28" s="7" t="n">
        <v>-81.5892281</v>
      </c>
      <c r="V28" s="5" t="s">
        <v>187</v>
      </c>
      <c r="W28" s="5" t="s">
        <v>154</v>
      </c>
      <c r="X28" s="5" t="s">
        <v>50</v>
      </c>
      <c r="Y28" s="8" t="str">
        <f aca="false">IF($C28&lt;&gt;"",TRIM($C28&amp;", "&amp;$D28&amp;", "&amp;$E28&amp;" "&amp;$F28),IF($R28&lt;&gt;"",$R28,IF($D28&lt;&gt;"",$D28&amp;", "&amp;$E28,$I28)))</f>
        <v>7562 US-192, Kissimmee, FL 34747</v>
      </c>
    </row>
    <row r="29" customFormat="false" ht="15" hidden="false" customHeight="true" outlineLevel="0" collapsed="false">
      <c r="A29" s="5" t="s">
        <v>188</v>
      </c>
      <c r="B29" s="5" t="s">
        <v>189</v>
      </c>
      <c r="C29" s="5" t="s">
        <v>190</v>
      </c>
      <c r="D29" s="5" t="s">
        <v>191</v>
      </c>
      <c r="E29" s="5" t="s">
        <v>29</v>
      </c>
      <c r="F29" s="5" t="s">
        <v>192</v>
      </c>
      <c r="G29" s="5" t="s">
        <v>31</v>
      </c>
      <c r="H29" s="5" t="s">
        <v>32</v>
      </c>
      <c r="I29" s="5" t="s">
        <v>33</v>
      </c>
      <c r="J29" s="6" t="n">
        <v>6</v>
      </c>
      <c r="K29" s="5" t="s">
        <v>63</v>
      </c>
      <c r="L29" s="5" t="n">
        <f aca="false">IF($K29="",0,LEN($K29)-LEN(SUBSTITUTE($K29,",",""))+1)</f>
        <v>2</v>
      </c>
      <c r="M29" s="5" t="s">
        <v>35</v>
      </c>
      <c r="N29" s="5" t="str">
        <f aca="false">TRIM($A29&amp;" "&amp;IF($C29="",$R29,$C29&amp;" "&amp;$D29&amp;" "&amp;$E29&amp;" "&amp;$F29))</f>
        <v>1941 Package 2004 N Expressway Griffin GA 30223</v>
      </c>
      <c r="O29" s="5" t="str">
        <f aca="false">IF($P29&lt;&gt;"","Exclude",IF(AND($M29&lt;&gt;"Full address",$R29=""),"Needs address",IF($J29&lt;0.5,"Hold - low volume",IF(LEFT($W29,3)="Low","Verify address",IF($G29="Needs review","Needs premise review",IF($X29="Estimated","Ready - address estimated","Ready"))))))</f>
        <v>Ready</v>
      </c>
      <c r="P29" s="5"/>
      <c r="Q29" s="5" t="s">
        <v>36</v>
      </c>
      <c r="R29" s="5"/>
      <c r="S29" s="5"/>
      <c r="T29" s="7"/>
      <c r="U29" s="7"/>
      <c r="V29" s="5"/>
      <c r="W29" s="5"/>
      <c r="X29" s="5" t="s">
        <v>37</v>
      </c>
      <c r="Y29" s="8" t="str">
        <f aca="false">IF($C29&lt;&gt;"",TRIM($C29&amp;", "&amp;$D29&amp;", "&amp;$E29&amp;" "&amp;$F29),IF($R29&lt;&gt;"",$R29,IF($D29&lt;&gt;"",$D29&amp;", "&amp;$E29,$I29)))</f>
        <v>2004 N Expressway, Griffin, GA 30223</v>
      </c>
    </row>
    <row r="30" customFormat="false" ht="15" hidden="false" customHeight="true" outlineLevel="0" collapsed="false">
      <c r="A30" s="5" t="s">
        <v>193</v>
      </c>
      <c r="B30" s="5" t="s">
        <v>194</v>
      </c>
      <c r="C30" s="5" t="s">
        <v>195</v>
      </c>
      <c r="D30" s="5" t="s">
        <v>120</v>
      </c>
      <c r="E30" s="5" t="s">
        <v>29</v>
      </c>
      <c r="F30" s="5" t="s">
        <v>196</v>
      </c>
      <c r="G30" s="5" t="s">
        <v>31</v>
      </c>
      <c r="H30" s="5" t="s">
        <v>32</v>
      </c>
      <c r="I30" s="5" t="s">
        <v>33</v>
      </c>
      <c r="J30" s="6" t="n">
        <v>6</v>
      </c>
      <c r="K30" s="5" t="s">
        <v>63</v>
      </c>
      <c r="L30" s="5" t="n">
        <f aca="false">IF($K30="",0,LEN($K30)-LEN(SUBSTITUTE($K30,",",""))+1)</f>
        <v>2</v>
      </c>
      <c r="M30" s="5" t="s">
        <v>35</v>
      </c>
      <c r="N30" s="5" t="str">
        <f aca="false">TRIM($A30&amp;" "&amp;IF($C30="",$R30,$C30&amp;" "&amp;$D30&amp;" "&amp;$E30&amp;" "&amp;$F30))</f>
        <v>Ace's Package Store 2558 Gresham Rd S E Atlanta GA 30316</v>
      </c>
      <c r="O30" s="5" t="str">
        <f aca="false">IF($P30&lt;&gt;"","Exclude",IF(AND($M30&lt;&gt;"Full address",$R30=""),"Needs address",IF($J30&lt;0.5,"Hold - low volume",IF(LEFT($W30,3)="Low","Verify address",IF($G30="Needs review","Needs premise review",IF($X30="Estimated","Ready - address estimated","Ready"))))))</f>
        <v>Ready</v>
      </c>
      <c r="P30" s="5"/>
      <c r="Q30" s="5" t="s">
        <v>36</v>
      </c>
      <c r="R30" s="5"/>
      <c r="S30" s="5"/>
      <c r="T30" s="7"/>
      <c r="U30" s="7"/>
      <c r="V30" s="5"/>
      <c r="W30" s="5"/>
      <c r="X30" s="5" t="s">
        <v>37</v>
      </c>
      <c r="Y30" s="8" t="str">
        <f aca="false">IF($C30&lt;&gt;"",TRIM($C30&amp;", "&amp;$D30&amp;", "&amp;$E30&amp;" "&amp;$F30),IF($R30&lt;&gt;"",$R30,IF($D30&lt;&gt;"",$D30&amp;", "&amp;$E30,$I30)))</f>
        <v>2558 Gresham Rd S E, Atlanta, GA 30316</v>
      </c>
    </row>
    <row r="31" customFormat="false" ht="15" hidden="false" customHeight="true" outlineLevel="0" collapsed="false">
      <c r="A31" s="5" t="s">
        <v>197</v>
      </c>
      <c r="B31" s="5" t="s">
        <v>198</v>
      </c>
      <c r="C31" s="5" t="s">
        <v>199</v>
      </c>
      <c r="D31" s="5" t="s">
        <v>200</v>
      </c>
      <c r="E31" s="5" t="s">
        <v>29</v>
      </c>
      <c r="F31" s="5" t="s">
        <v>201</v>
      </c>
      <c r="G31" s="5" t="s">
        <v>31</v>
      </c>
      <c r="H31" s="5" t="s">
        <v>32</v>
      </c>
      <c r="I31" s="5" t="s">
        <v>33</v>
      </c>
      <c r="J31" s="6" t="n">
        <v>6</v>
      </c>
      <c r="K31" s="5" t="s">
        <v>34</v>
      </c>
      <c r="L31" s="5" t="n">
        <f aca="false">IF($K31="",0,LEN($K31)-LEN(SUBSTITUTE($K31,",",""))+1)</f>
        <v>3</v>
      </c>
      <c r="M31" s="5" t="s">
        <v>35</v>
      </c>
      <c r="N31" s="5" t="str">
        <f aca="false">TRIM($A31&amp;" "&amp;IF($C31="",$R31,$C31&amp;" "&amp;$D31&amp;" "&amp;$E31&amp;" "&amp;$F31))</f>
        <v>Beverage Vault 109 BULLSBORO DR. Newnan GA 30263</v>
      </c>
      <c r="O31" s="5" t="str">
        <f aca="false">IF($P31&lt;&gt;"","Exclude",IF(AND($M31&lt;&gt;"Full address",$R31=""),"Needs address",IF($J31&lt;0.5,"Hold - low volume",IF(LEFT($W31,3)="Low","Verify address",IF($G31="Needs review","Needs premise review",IF($X31="Estimated","Ready - address estimated","Ready"))))))</f>
        <v>Ready</v>
      </c>
      <c r="P31" s="5"/>
      <c r="Q31" s="5" t="s">
        <v>36</v>
      </c>
      <c r="R31" s="5"/>
      <c r="S31" s="5"/>
      <c r="T31" s="7"/>
      <c r="U31" s="7"/>
      <c r="V31" s="5"/>
      <c r="W31" s="5"/>
      <c r="X31" s="5" t="s">
        <v>37</v>
      </c>
      <c r="Y31" s="8" t="str">
        <f aca="false">IF($C31&lt;&gt;"",TRIM($C31&amp;", "&amp;$D31&amp;", "&amp;$E31&amp;" "&amp;$F31),IF($R31&lt;&gt;"",$R31,IF($D31&lt;&gt;"",$D31&amp;", "&amp;$E31,$I31)))</f>
        <v>109 BULLSBORO DR., Newnan, GA 30263</v>
      </c>
    </row>
    <row r="32" customFormat="false" ht="15" hidden="false" customHeight="true" outlineLevel="0" collapsed="false">
      <c r="A32" s="5" t="s">
        <v>202</v>
      </c>
      <c r="B32" s="5" t="s">
        <v>203</v>
      </c>
      <c r="C32" s="5" t="s">
        <v>204</v>
      </c>
      <c r="D32" s="5" t="s">
        <v>205</v>
      </c>
      <c r="E32" s="5" t="s">
        <v>29</v>
      </c>
      <c r="F32" s="5" t="s">
        <v>206</v>
      </c>
      <c r="G32" s="5" t="s">
        <v>31</v>
      </c>
      <c r="H32" s="5" t="s">
        <v>32</v>
      </c>
      <c r="I32" s="5" t="s">
        <v>33</v>
      </c>
      <c r="J32" s="6" t="n">
        <v>6</v>
      </c>
      <c r="K32" s="5" t="s">
        <v>63</v>
      </c>
      <c r="L32" s="5" t="n">
        <f aca="false">IF($K32="",0,LEN($K32)-LEN(SUBSTITUTE($K32,",",""))+1)</f>
        <v>2</v>
      </c>
      <c r="M32" s="5" t="s">
        <v>35</v>
      </c>
      <c r="N32" s="5" t="str">
        <f aca="false">TRIM($A32&amp;" "&amp;IF($C32="",$R32,$C32&amp;" "&amp;$D32&amp;" "&amp;$E32&amp;" "&amp;$F32))</f>
        <v>Beyond Water Wine &amp; Spirits 991 THORNTON ROAD Lithia Springs GA 30122</v>
      </c>
      <c r="O32" s="5" t="str">
        <f aca="false">IF($P32&lt;&gt;"","Exclude",IF(AND($M32&lt;&gt;"Full address",$R32=""),"Needs address",IF($J32&lt;0.5,"Hold - low volume",IF(LEFT($W32,3)="Low","Verify address",IF($G32="Needs review","Needs premise review",IF($X32="Estimated","Ready - address estimated","Ready"))))))</f>
        <v>Ready</v>
      </c>
      <c r="P32" s="5"/>
      <c r="Q32" s="5" t="s">
        <v>36</v>
      </c>
      <c r="R32" s="5"/>
      <c r="S32" s="5"/>
      <c r="T32" s="7"/>
      <c r="U32" s="7"/>
      <c r="V32" s="5"/>
      <c r="W32" s="5"/>
      <c r="X32" s="5" t="s">
        <v>37</v>
      </c>
      <c r="Y32" s="8" t="str">
        <f aca="false">IF($C32&lt;&gt;"",TRIM($C32&amp;", "&amp;$D32&amp;", "&amp;$E32&amp;" "&amp;$F32),IF($R32&lt;&gt;"",$R32,IF($D32&lt;&gt;"",$D32&amp;", "&amp;$E32,$I32)))</f>
        <v>991 THORNTON ROAD, Lithia Springs, GA 30122</v>
      </c>
    </row>
    <row r="33" customFormat="false" ht="15" hidden="false" customHeight="true" outlineLevel="0" collapsed="false">
      <c r="A33" s="5" t="s">
        <v>207</v>
      </c>
      <c r="B33" s="5" t="s">
        <v>208</v>
      </c>
      <c r="C33" s="5" t="s">
        <v>209</v>
      </c>
      <c r="D33" s="5" t="s">
        <v>91</v>
      </c>
      <c r="E33" s="5" t="s">
        <v>29</v>
      </c>
      <c r="F33" s="5" t="s">
        <v>92</v>
      </c>
      <c r="G33" s="5" t="s">
        <v>31</v>
      </c>
      <c r="H33" s="5" t="s">
        <v>32</v>
      </c>
      <c r="I33" s="5" t="s">
        <v>33</v>
      </c>
      <c r="J33" s="6" t="n">
        <v>6</v>
      </c>
      <c r="K33" s="5" t="s">
        <v>63</v>
      </c>
      <c r="L33" s="5" t="n">
        <f aca="false">IF($K33="",0,LEN($K33)-LEN(SUBSTITUTE($K33,",",""))+1)</f>
        <v>2</v>
      </c>
      <c r="M33" s="5" t="s">
        <v>35</v>
      </c>
      <c r="N33" s="5" t="str">
        <f aca="false">TRIM($A33&amp;" "&amp;IF($C33="",$R33,$C33&amp;" "&amp;$D33&amp;" "&amp;$E33&amp;" "&amp;$F33))</f>
        <v>Big Man Package Store 2594 Candler Rd Decatur GA 30034</v>
      </c>
      <c r="O33" s="5" t="str">
        <f aca="false">IF($P33&lt;&gt;"","Exclude",IF(AND($M33&lt;&gt;"Full address",$R33=""),"Needs address",IF($J33&lt;0.5,"Hold - low volume",IF(LEFT($W33,3)="Low","Verify address",IF($G33="Needs review","Needs premise review",IF($X33="Estimated","Ready - address estimated","Ready"))))))</f>
        <v>Ready</v>
      </c>
      <c r="P33" s="5"/>
      <c r="Q33" s="5" t="s">
        <v>36</v>
      </c>
      <c r="R33" s="5"/>
      <c r="S33" s="5"/>
      <c r="T33" s="7"/>
      <c r="U33" s="7"/>
      <c r="V33" s="5"/>
      <c r="W33" s="5"/>
      <c r="X33" s="5" t="s">
        <v>37</v>
      </c>
      <c r="Y33" s="8" t="str">
        <f aca="false">IF($C33&lt;&gt;"",TRIM($C33&amp;", "&amp;$D33&amp;", "&amp;$E33&amp;" "&amp;$F33),IF($R33&lt;&gt;"",$R33,IF($D33&lt;&gt;"",$D33&amp;", "&amp;$E33,$I33)))</f>
        <v>2594 Candler Rd, Decatur, GA 30034</v>
      </c>
    </row>
    <row r="34" customFormat="false" ht="15" hidden="false" customHeight="true" outlineLevel="0" collapsed="false">
      <c r="A34" s="5" t="s">
        <v>210</v>
      </c>
      <c r="B34" s="5" t="s">
        <v>211</v>
      </c>
      <c r="C34" s="5" t="s">
        <v>212</v>
      </c>
      <c r="D34" s="5" t="s">
        <v>213</v>
      </c>
      <c r="E34" s="5" t="s">
        <v>29</v>
      </c>
      <c r="F34" s="5" t="s">
        <v>214</v>
      </c>
      <c r="G34" s="5" t="s">
        <v>31</v>
      </c>
      <c r="H34" s="5" t="s">
        <v>32</v>
      </c>
      <c r="I34" s="5" t="s">
        <v>33</v>
      </c>
      <c r="J34" s="6" t="n">
        <v>6</v>
      </c>
      <c r="K34" s="5" t="s">
        <v>63</v>
      </c>
      <c r="L34" s="5" t="n">
        <f aca="false">IF($K34="",0,LEN($K34)-LEN(SUBSTITUTE($K34,",",""))+1)</f>
        <v>2</v>
      </c>
      <c r="M34" s="5" t="s">
        <v>35</v>
      </c>
      <c r="N34" s="5" t="str">
        <f aca="false">TRIM($A34&amp;" "&amp;IF($C34="",$R34,$C34&amp;" "&amp;$D34&amp;" "&amp;$E34&amp;" "&amp;$F34))</f>
        <v>CLS Package Store 219 North Smith Street Sandersville GA 31082</v>
      </c>
      <c r="O34" s="5" t="str">
        <f aca="false">IF($P34&lt;&gt;"","Exclude",IF(AND($M34&lt;&gt;"Full address",$R34=""),"Needs address",IF($J34&lt;0.5,"Hold - low volume",IF(LEFT($W34,3)="Low","Verify address",IF($G34="Needs review","Needs premise review",IF($X34="Estimated","Ready - address estimated","Ready"))))))</f>
        <v>Ready</v>
      </c>
      <c r="P34" s="5"/>
      <c r="Q34" s="5" t="s">
        <v>36</v>
      </c>
      <c r="R34" s="5"/>
      <c r="S34" s="5"/>
      <c r="T34" s="7"/>
      <c r="U34" s="7"/>
      <c r="V34" s="5"/>
      <c r="W34" s="5"/>
      <c r="X34" s="5" t="s">
        <v>37</v>
      </c>
      <c r="Y34" s="8" t="str">
        <f aca="false">IF($C34&lt;&gt;"",TRIM($C34&amp;", "&amp;$D34&amp;", "&amp;$E34&amp;" "&amp;$F34),IF($R34&lt;&gt;"",$R34,IF($D34&lt;&gt;"",$D34&amp;", "&amp;$E34,$I34)))</f>
        <v>219 North Smith Street, Sandersville, GA 31082</v>
      </c>
    </row>
    <row r="35" customFormat="false" ht="15" hidden="false" customHeight="true" outlineLevel="0" collapsed="false">
      <c r="A35" s="5" t="s">
        <v>215</v>
      </c>
      <c r="B35" s="5" t="s">
        <v>216</v>
      </c>
      <c r="C35" s="5" t="s">
        <v>217</v>
      </c>
      <c r="D35" s="5" t="s">
        <v>218</v>
      </c>
      <c r="E35" s="5" t="s">
        <v>29</v>
      </c>
      <c r="F35" s="5" t="s">
        <v>219</v>
      </c>
      <c r="G35" s="5" t="s">
        <v>31</v>
      </c>
      <c r="H35" s="5" t="s">
        <v>32</v>
      </c>
      <c r="I35" s="5" t="s">
        <v>33</v>
      </c>
      <c r="J35" s="6" t="n">
        <v>6</v>
      </c>
      <c r="K35" s="5" t="s">
        <v>220</v>
      </c>
      <c r="L35" s="5" t="n">
        <f aca="false">IF($K35="",0,LEN($K35)-LEN(SUBSTITUTE($K35,",",""))+1)</f>
        <v>2</v>
      </c>
      <c r="M35" s="5" t="s">
        <v>35</v>
      </c>
      <c r="N35" s="5" t="str">
        <f aca="false">TRIM($A35&amp;" "&amp;IF($C35="",$R35,$C35&amp;" "&amp;$D35&amp;" "&amp;$E35&amp;" "&amp;$F35))</f>
        <v>Drip &amp; Drop Liquor Store 11289 Hwy 92 Woodstock GA 30188</v>
      </c>
      <c r="O35" s="5" t="str">
        <f aca="false">IF($P35&lt;&gt;"","Exclude",IF(AND($M35&lt;&gt;"Full address",$R35=""),"Needs address",IF($J35&lt;0.5,"Hold - low volume",IF(LEFT($W35,3)="Low","Verify address",IF($G35="Needs review","Needs premise review",IF($X35="Estimated","Ready - address estimated","Ready"))))))</f>
        <v>Ready</v>
      </c>
      <c r="P35" s="5"/>
      <c r="Q35" s="5" t="s">
        <v>36</v>
      </c>
      <c r="R35" s="5"/>
      <c r="S35" s="5"/>
      <c r="T35" s="7"/>
      <c r="U35" s="7"/>
      <c r="V35" s="5"/>
      <c r="W35" s="5"/>
      <c r="X35" s="5" t="s">
        <v>37</v>
      </c>
      <c r="Y35" s="8" t="str">
        <f aca="false">IF($C35&lt;&gt;"",TRIM($C35&amp;", "&amp;$D35&amp;", "&amp;$E35&amp;" "&amp;$F35),IF($R35&lt;&gt;"",$R35,IF($D35&lt;&gt;"",$D35&amp;", "&amp;$E35,$I35)))</f>
        <v>11289 Hwy 92, Woodstock, GA 30188</v>
      </c>
    </row>
    <row r="36" customFormat="false" ht="15" hidden="false" customHeight="true" outlineLevel="0" collapsed="false">
      <c r="A36" s="5" t="s">
        <v>221</v>
      </c>
      <c r="B36" s="5" t="s">
        <v>222</v>
      </c>
      <c r="C36" s="5" t="s">
        <v>223</v>
      </c>
      <c r="D36" s="5" t="s">
        <v>91</v>
      </c>
      <c r="E36" s="5" t="s">
        <v>29</v>
      </c>
      <c r="F36" s="5" t="s">
        <v>224</v>
      </c>
      <c r="G36" s="5" t="s">
        <v>31</v>
      </c>
      <c r="H36" s="5" t="s">
        <v>32</v>
      </c>
      <c r="I36" s="5" t="s">
        <v>33</v>
      </c>
      <c r="J36" s="6" t="n">
        <v>6</v>
      </c>
      <c r="K36" s="5" t="s">
        <v>34</v>
      </c>
      <c r="L36" s="5" t="n">
        <f aca="false">IF($K36="",0,LEN($K36)-LEN(SUBSTITUTE($K36,",",""))+1)</f>
        <v>3</v>
      </c>
      <c r="M36" s="5" t="s">
        <v>35</v>
      </c>
      <c r="N36" s="5" t="str">
        <f aca="false">TRIM($A36&amp;" "&amp;IF($C36="",$R36,$C36&amp;" "&amp;$D36&amp;" "&amp;$E36&amp;" "&amp;$F36))</f>
        <v>HAL'S PACKAGE STORE 1223 Columbia Dr Decatur GA 30032</v>
      </c>
      <c r="O36" s="5" t="str">
        <f aca="false">IF($P36&lt;&gt;"","Exclude",IF(AND($M36&lt;&gt;"Full address",$R36=""),"Needs address",IF($J36&lt;0.5,"Hold - low volume",IF(LEFT($W36,3)="Low","Verify address",IF($G36="Needs review","Needs premise review",IF($X36="Estimated","Ready - address estimated","Ready"))))))</f>
        <v>Ready</v>
      </c>
      <c r="P36" s="5"/>
      <c r="Q36" s="5" t="s">
        <v>36</v>
      </c>
      <c r="R36" s="5"/>
      <c r="S36" s="5"/>
      <c r="T36" s="7"/>
      <c r="U36" s="7"/>
      <c r="V36" s="5"/>
      <c r="W36" s="5"/>
      <c r="X36" s="5" t="s">
        <v>37</v>
      </c>
      <c r="Y36" s="8" t="str">
        <f aca="false">IF($C36&lt;&gt;"",TRIM($C36&amp;", "&amp;$D36&amp;", "&amp;$E36&amp;" "&amp;$F36),IF($R36&lt;&gt;"",$R36,IF($D36&lt;&gt;"",$D36&amp;", "&amp;$E36,$I36)))</f>
        <v>1223 Columbia Dr, Decatur, GA 30032</v>
      </c>
    </row>
    <row r="37" customFormat="false" ht="15" hidden="false" customHeight="true" outlineLevel="0" collapsed="false">
      <c r="A37" s="5" t="s">
        <v>225</v>
      </c>
      <c r="B37" s="5" t="s">
        <v>226</v>
      </c>
      <c r="C37" s="5" t="s">
        <v>227</v>
      </c>
      <c r="D37" s="5" t="s">
        <v>228</v>
      </c>
      <c r="E37" s="5" t="s">
        <v>29</v>
      </c>
      <c r="F37" s="5" t="s">
        <v>229</v>
      </c>
      <c r="G37" s="5" t="s">
        <v>31</v>
      </c>
      <c r="H37" s="5" t="s">
        <v>32</v>
      </c>
      <c r="I37" s="5" t="s">
        <v>33</v>
      </c>
      <c r="J37" s="6" t="n">
        <v>6</v>
      </c>
      <c r="K37" s="5" t="s">
        <v>34</v>
      </c>
      <c r="L37" s="5" t="n">
        <f aca="false">IF($K37="",0,LEN($K37)-LEN(SUBSTITUTE($K37,",",""))+1)</f>
        <v>3</v>
      </c>
      <c r="M37" s="5" t="s">
        <v>35</v>
      </c>
      <c r="N37" s="5" t="str">
        <f aca="false">TRIM($A37&amp;" "&amp;IF($C37="",$R37,$C37&amp;" "&amp;$D37&amp;" "&amp;$E37&amp;" "&amp;$F37))</f>
        <v>J&amp;J Liquor 1590 Hudson Bridge Rd Stockbridge GA 30281</v>
      </c>
      <c r="O37" s="5" t="str">
        <f aca="false">IF($P37&lt;&gt;"","Exclude",IF(AND($M37&lt;&gt;"Full address",$R37=""),"Needs address",IF($J37&lt;0.5,"Hold - low volume",IF(LEFT($W37,3)="Low","Verify address",IF($G37="Needs review","Needs premise review",IF($X37="Estimated","Ready - address estimated","Ready"))))))</f>
        <v>Ready</v>
      </c>
      <c r="P37" s="5"/>
      <c r="Q37" s="5" t="s">
        <v>36</v>
      </c>
      <c r="R37" s="5"/>
      <c r="S37" s="5"/>
      <c r="T37" s="7"/>
      <c r="U37" s="7"/>
      <c r="V37" s="5"/>
      <c r="W37" s="5"/>
      <c r="X37" s="5" t="s">
        <v>37</v>
      </c>
      <c r="Y37" s="8" t="str">
        <f aca="false">IF($C37&lt;&gt;"",TRIM($C37&amp;", "&amp;$D37&amp;", "&amp;$E37&amp;" "&amp;$F37),IF($R37&lt;&gt;"",$R37,IF($D37&lt;&gt;"",$D37&amp;", "&amp;$E37,$I37)))</f>
        <v>1590 Hudson Bridge Rd, Stockbridge, GA 30281</v>
      </c>
    </row>
    <row r="38" customFormat="false" ht="15" hidden="false" customHeight="true" outlineLevel="0" collapsed="false">
      <c r="A38" s="5" t="s">
        <v>230</v>
      </c>
      <c r="B38" s="5" t="s">
        <v>231</v>
      </c>
      <c r="C38" s="5" t="s">
        <v>232</v>
      </c>
      <c r="D38" s="5" t="s">
        <v>115</v>
      </c>
      <c r="E38" s="5" t="s">
        <v>29</v>
      </c>
      <c r="F38" s="5" t="s">
        <v>233</v>
      </c>
      <c r="G38" s="5" t="s">
        <v>31</v>
      </c>
      <c r="H38" s="5" t="s">
        <v>32</v>
      </c>
      <c r="I38" s="5" t="s">
        <v>33</v>
      </c>
      <c r="J38" s="6" t="n">
        <v>6</v>
      </c>
      <c r="K38" s="5" t="s">
        <v>63</v>
      </c>
      <c r="L38" s="5" t="n">
        <f aca="false">IF($K38="",0,LEN($K38)-LEN(SUBSTITUTE($K38,",",""))+1)</f>
        <v>2</v>
      </c>
      <c r="M38" s="5" t="s">
        <v>35</v>
      </c>
      <c r="N38" s="5" t="str">
        <f aca="false">TRIM($A38&amp;" "&amp;IF($C38="",$R38,$C38&amp;" "&amp;$D38&amp;" "&amp;$E38&amp;" "&amp;$F38))</f>
        <v>Kilroy's Package Store 4877 Old National Hwy College Park GA 30337</v>
      </c>
      <c r="O38" s="5" t="str">
        <f aca="false">IF($P38&lt;&gt;"","Exclude",IF(AND($M38&lt;&gt;"Full address",$R38=""),"Needs address",IF($J38&lt;0.5,"Hold - low volume",IF(LEFT($W38,3)="Low","Verify address",IF($G38="Needs review","Needs premise review",IF($X38="Estimated","Ready - address estimated","Ready"))))))</f>
        <v>Ready</v>
      </c>
      <c r="P38" s="5"/>
      <c r="Q38" s="5" t="s">
        <v>36</v>
      </c>
      <c r="R38" s="5"/>
      <c r="S38" s="5"/>
      <c r="T38" s="7"/>
      <c r="U38" s="7"/>
      <c r="V38" s="5"/>
      <c r="W38" s="5"/>
      <c r="X38" s="5" t="s">
        <v>37</v>
      </c>
      <c r="Y38" s="8" t="str">
        <f aca="false">IF($C38&lt;&gt;"",TRIM($C38&amp;", "&amp;$D38&amp;", "&amp;$E38&amp;" "&amp;$F38),IF($R38&lt;&gt;"",$R38,IF($D38&lt;&gt;"",$D38&amp;", "&amp;$E38,$I38)))</f>
        <v>4877 Old National Hwy, College Park, GA 30337</v>
      </c>
    </row>
    <row r="39" customFormat="false" ht="15" hidden="false" customHeight="true" outlineLevel="0" collapsed="false">
      <c r="A39" s="5" t="s">
        <v>234</v>
      </c>
      <c r="B39" s="5" t="s">
        <v>235</v>
      </c>
      <c r="C39" s="5" t="s">
        <v>236</v>
      </c>
      <c r="D39" s="5" t="s">
        <v>237</v>
      </c>
      <c r="E39" s="5" t="s">
        <v>29</v>
      </c>
      <c r="F39" s="5" t="s">
        <v>238</v>
      </c>
      <c r="G39" s="5" t="s">
        <v>31</v>
      </c>
      <c r="H39" s="5" t="s">
        <v>32</v>
      </c>
      <c r="I39" s="5" t="s">
        <v>33</v>
      </c>
      <c r="J39" s="6" t="n">
        <v>6</v>
      </c>
      <c r="K39" s="5" t="s">
        <v>63</v>
      </c>
      <c r="L39" s="5" t="n">
        <f aca="false">IF($K39="",0,LEN($K39)-LEN(SUBSTITUTE($K39,",",""))+1)</f>
        <v>2</v>
      </c>
      <c r="M39" s="5" t="s">
        <v>35</v>
      </c>
      <c r="N39" s="5" t="str">
        <f aca="false">TRIM($A39&amp;" "&amp;IF($C39="",$R39,$C39&amp;" "&amp;$D39&amp;" "&amp;$E39&amp;" "&amp;$F39))</f>
        <v>Legacy Beverage Center 330 Athens Hwy Loganville GA 30052</v>
      </c>
      <c r="O39" s="5" t="str">
        <f aca="false">IF($P39&lt;&gt;"","Exclude",IF(AND($M39&lt;&gt;"Full address",$R39=""),"Needs address",IF($J39&lt;0.5,"Hold - low volume",IF(LEFT($W39,3)="Low","Verify address",IF($G39="Needs review","Needs premise review",IF($X39="Estimated","Ready - address estimated","Ready"))))))</f>
        <v>Ready</v>
      </c>
      <c r="P39" s="5"/>
      <c r="Q39" s="5" t="s">
        <v>36</v>
      </c>
      <c r="R39" s="5"/>
      <c r="S39" s="5"/>
      <c r="T39" s="7"/>
      <c r="U39" s="7"/>
      <c r="V39" s="5"/>
      <c r="W39" s="5"/>
      <c r="X39" s="5" t="s">
        <v>37</v>
      </c>
      <c r="Y39" s="8" t="str">
        <f aca="false">IF($C39&lt;&gt;"",TRIM($C39&amp;", "&amp;$D39&amp;", "&amp;$E39&amp;" "&amp;$F39),IF($R39&lt;&gt;"",$R39,IF($D39&lt;&gt;"",$D39&amp;", "&amp;$E39,$I39)))</f>
        <v>330 Athens Hwy, Loganville, GA 30052</v>
      </c>
    </row>
    <row r="40" customFormat="false" ht="15" hidden="false" customHeight="true" outlineLevel="0" collapsed="false">
      <c r="A40" s="5" t="s">
        <v>239</v>
      </c>
      <c r="B40" s="5" t="s">
        <v>240</v>
      </c>
      <c r="C40" s="5" t="s">
        <v>241</v>
      </c>
      <c r="D40" s="5" t="s">
        <v>120</v>
      </c>
      <c r="E40" s="5" t="s">
        <v>29</v>
      </c>
      <c r="F40" s="5" t="s">
        <v>242</v>
      </c>
      <c r="G40" s="5" t="s">
        <v>31</v>
      </c>
      <c r="H40" s="5" t="s">
        <v>32</v>
      </c>
      <c r="I40" s="5" t="s">
        <v>33</v>
      </c>
      <c r="J40" s="6" t="n">
        <v>6</v>
      </c>
      <c r="K40" s="5" t="s">
        <v>34</v>
      </c>
      <c r="L40" s="5" t="n">
        <f aca="false">IF($K40="",0,LEN($K40)-LEN(SUBSTITUTE($K40,",",""))+1)</f>
        <v>3</v>
      </c>
      <c r="M40" s="5" t="s">
        <v>35</v>
      </c>
      <c r="N40" s="5" t="str">
        <f aca="false">TRIM($A40&amp;" "&amp;IF($C40="",$R40,$C40&amp;" "&amp;$D40&amp;" "&amp;$E40&amp;" "&amp;$F40))</f>
        <v>Local Vine Wine Beer and Liquor 3101 Cobb Pkwy SE Atlanta GA 30339</v>
      </c>
      <c r="O40" s="5" t="str">
        <f aca="false">IF($P40&lt;&gt;"","Exclude",IF(AND($M40&lt;&gt;"Full address",$R40=""),"Needs address",IF($J40&lt;0.5,"Hold - low volume",IF(LEFT($W40,3)="Low","Verify address",IF($G40="Needs review","Needs premise review",IF($X40="Estimated","Ready - address estimated","Ready"))))))</f>
        <v>Ready</v>
      </c>
      <c r="P40" s="5"/>
      <c r="Q40" s="5" t="s">
        <v>36</v>
      </c>
      <c r="R40" s="5"/>
      <c r="S40" s="5"/>
      <c r="T40" s="7"/>
      <c r="U40" s="7"/>
      <c r="V40" s="5"/>
      <c r="W40" s="5"/>
      <c r="X40" s="5" t="s">
        <v>37</v>
      </c>
      <c r="Y40" s="8" t="str">
        <f aca="false">IF($C40&lt;&gt;"",TRIM($C40&amp;", "&amp;$D40&amp;", "&amp;$E40&amp;" "&amp;$F40),IF($R40&lt;&gt;"",$R40,IF($D40&lt;&gt;"",$D40&amp;", "&amp;$E40,$I40)))</f>
        <v>3101 Cobb Pkwy SE, Atlanta, GA 30339</v>
      </c>
    </row>
    <row r="41" customFormat="false" ht="15" hidden="false" customHeight="true" outlineLevel="0" collapsed="false">
      <c r="A41" s="5" t="s">
        <v>243</v>
      </c>
      <c r="B41" s="5" t="s">
        <v>244</v>
      </c>
      <c r="C41" s="5" t="s">
        <v>245</v>
      </c>
      <c r="D41" s="5" t="s">
        <v>142</v>
      </c>
      <c r="E41" s="5" t="s">
        <v>29</v>
      </c>
      <c r="F41" s="5" t="s">
        <v>246</v>
      </c>
      <c r="G41" s="5" t="s">
        <v>31</v>
      </c>
      <c r="H41" s="5" t="s">
        <v>32</v>
      </c>
      <c r="I41" s="5" t="s">
        <v>33</v>
      </c>
      <c r="J41" s="6" t="n">
        <v>6</v>
      </c>
      <c r="K41" s="5" t="s">
        <v>34</v>
      </c>
      <c r="L41" s="5" t="n">
        <f aca="false">IF($K41="",0,LEN($K41)-LEN(SUBSTITUTE($K41,",",""))+1)</f>
        <v>3</v>
      </c>
      <c r="M41" s="5" t="s">
        <v>35</v>
      </c>
      <c r="N41" s="5" t="str">
        <f aca="false">TRIM($A41&amp;" "&amp;IF($C41="",$R41,$C41&amp;" "&amp;$D41&amp;" "&amp;$E41&amp;" "&amp;$F41))</f>
        <v>Maple Party Shop 8328 Veterans Pkwy Columbus GA 31909</v>
      </c>
      <c r="O41" s="5" t="str">
        <f aca="false">IF($P41&lt;&gt;"","Exclude",IF(AND($M41&lt;&gt;"Full address",$R41=""),"Needs address",IF($J41&lt;0.5,"Hold - low volume",IF(LEFT($W41,3)="Low","Verify address",IF($G41="Needs review","Needs premise review",IF($X41="Estimated","Ready - address estimated","Ready"))))))</f>
        <v>Ready</v>
      </c>
      <c r="P41" s="5"/>
      <c r="Q41" s="5" t="s">
        <v>36</v>
      </c>
      <c r="R41" s="5"/>
      <c r="S41" s="5"/>
      <c r="T41" s="7"/>
      <c r="U41" s="7"/>
      <c r="V41" s="5"/>
      <c r="W41" s="5"/>
      <c r="X41" s="5" t="s">
        <v>37</v>
      </c>
      <c r="Y41" s="8" t="str">
        <f aca="false">IF($C41&lt;&gt;"",TRIM($C41&amp;", "&amp;$D41&amp;", "&amp;$E41&amp;" "&amp;$F41),IF($R41&lt;&gt;"",$R41,IF($D41&lt;&gt;"",$D41&amp;", "&amp;$E41,$I41)))</f>
        <v>8328 Veterans Pkwy, Columbus, GA 31909</v>
      </c>
    </row>
    <row r="42" customFormat="false" ht="15" hidden="false" customHeight="true" outlineLevel="0" collapsed="false">
      <c r="A42" s="5" t="s">
        <v>247</v>
      </c>
      <c r="B42" s="5" t="s">
        <v>248</v>
      </c>
      <c r="C42" s="5" t="s">
        <v>249</v>
      </c>
      <c r="D42" s="5" t="s">
        <v>120</v>
      </c>
      <c r="E42" s="5" t="s">
        <v>29</v>
      </c>
      <c r="F42" s="5" t="s">
        <v>250</v>
      </c>
      <c r="G42" s="5" t="s">
        <v>31</v>
      </c>
      <c r="H42" s="5" t="s">
        <v>32</v>
      </c>
      <c r="I42" s="5" t="s">
        <v>33</v>
      </c>
      <c r="J42" s="6" t="n">
        <v>6</v>
      </c>
      <c r="K42" s="5" t="s">
        <v>34</v>
      </c>
      <c r="L42" s="5" t="n">
        <f aca="false">IF($K42="",0,LEN($K42)-LEN(SUBSTITUTE($K42,",",""))+1)</f>
        <v>3</v>
      </c>
      <c r="M42" s="5" t="s">
        <v>35</v>
      </c>
      <c r="N42" s="5" t="str">
        <f aca="false">TRIM($A42&amp;" "&amp;IF($C42="",$R42,$C42&amp;" "&amp;$D42&amp;" "&amp;$E42&amp;" "&amp;$F42))</f>
        <v>Northside Drive Liquor Store 1341 Northside Dr NW Atlanta GA 30318</v>
      </c>
      <c r="O42" s="5" t="str">
        <f aca="false">IF($P42&lt;&gt;"","Exclude",IF(AND($M42&lt;&gt;"Full address",$R42=""),"Needs address",IF($J42&lt;0.5,"Hold - low volume",IF(LEFT($W42,3)="Low","Verify address",IF($G42="Needs review","Needs premise review",IF($X42="Estimated","Ready - address estimated","Ready"))))))</f>
        <v>Ready</v>
      </c>
      <c r="P42" s="5"/>
      <c r="Q42" s="5" t="s">
        <v>36</v>
      </c>
      <c r="R42" s="5"/>
      <c r="S42" s="5"/>
      <c r="T42" s="7"/>
      <c r="U42" s="7"/>
      <c r="V42" s="5"/>
      <c r="W42" s="5"/>
      <c r="X42" s="5" t="s">
        <v>37</v>
      </c>
      <c r="Y42" s="8" t="str">
        <f aca="false">IF($C42&lt;&gt;"",TRIM($C42&amp;", "&amp;$D42&amp;", "&amp;$E42&amp;" "&amp;$F42),IF($R42&lt;&gt;"",$R42,IF($D42&lt;&gt;"",$D42&amp;", "&amp;$E42,$I42)))</f>
        <v>1341 Northside Dr NW, Atlanta, GA 30318</v>
      </c>
    </row>
    <row r="43" customFormat="false" ht="15" hidden="false" customHeight="true" outlineLevel="0" collapsed="false">
      <c r="A43" s="5" t="s">
        <v>251</v>
      </c>
      <c r="B43" s="5" t="s">
        <v>252</v>
      </c>
      <c r="C43" s="5" t="s">
        <v>253</v>
      </c>
      <c r="D43" s="5" t="s">
        <v>120</v>
      </c>
      <c r="E43" s="5" t="s">
        <v>29</v>
      </c>
      <c r="F43" s="5" t="s">
        <v>254</v>
      </c>
      <c r="G43" s="5" t="s">
        <v>31</v>
      </c>
      <c r="H43" s="5" t="s">
        <v>32</v>
      </c>
      <c r="I43" s="5" t="s">
        <v>33</v>
      </c>
      <c r="J43" s="6" t="n">
        <v>6</v>
      </c>
      <c r="K43" s="5" t="s">
        <v>34</v>
      </c>
      <c r="L43" s="5" t="n">
        <f aca="false">IF($K43="",0,LEN($K43)-LEN(SUBSTITUTE($K43,",",""))+1)</f>
        <v>3</v>
      </c>
      <c r="M43" s="5" t="s">
        <v>35</v>
      </c>
      <c r="N43" s="5" t="str">
        <f aca="false">TRIM($A43&amp;" "&amp;IF($C43="",$R43,$C43&amp;" "&amp;$D43&amp;" "&amp;$E43&amp;" "&amp;$F43))</f>
        <v>Rainbow Liquore Store 1385 Simpson Rd NW Atlanta GA 30314</v>
      </c>
      <c r="O43" s="5" t="str">
        <f aca="false">IF($P43&lt;&gt;"","Exclude",IF(AND($M43&lt;&gt;"Full address",$R43=""),"Needs address",IF($J43&lt;0.5,"Hold - low volume",IF(LEFT($W43,3)="Low","Verify address",IF($G43="Needs review","Needs premise review",IF($X43="Estimated","Ready - address estimated","Ready"))))))</f>
        <v>Ready</v>
      </c>
      <c r="P43" s="5"/>
      <c r="Q43" s="5" t="s">
        <v>36</v>
      </c>
      <c r="R43" s="5"/>
      <c r="S43" s="5"/>
      <c r="T43" s="7"/>
      <c r="U43" s="7"/>
      <c r="V43" s="5"/>
      <c r="W43" s="5"/>
      <c r="X43" s="5" t="s">
        <v>37</v>
      </c>
      <c r="Y43" s="8" t="str">
        <f aca="false">IF($C43&lt;&gt;"",TRIM($C43&amp;", "&amp;$D43&amp;", "&amp;$E43&amp;" "&amp;$F43),IF($R43&lt;&gt;"",$R43,IF($D43&lt;&gt;"",$D43&amp;", "&amp;$E43,$I43)))</f>
        <v>1385 Simpson Rd NW, Atlanta, GA 30314</v>
      </c>
    </row>
    <row r="44" customFormat="false" ht="15" hidden="false" customHeight="true" outlineLevel="0" collapsed="false">
      <c r="A44" s="5" t="s">
        <v>255</v>
      </c>
      <c r="B44" s="5" t="s">
        <v>256</v>
      </c>
      <c r="C44" s="5" t="s">
        <v>257</v>
      </c>
      <c r="D44" s="5" t="s">
        <v>258</v>
      </c>
      <c r="E44" s="5" t="s">
        <v>29</v>
      </c>
      <c r="F44" s="5" t="s">
        <v>259</v>
      </c>
      <c r="G44" s="5" t="s">
        <v>31</v>
      </c>
      <c r="H44" s="5" t="s">
        <v>32</v>
      </c>
      <c r="I44" s="5" t="s">
        <v>33</v>
      </c>
      <c r="J44" s="6" t="n">
        <v>6</v>
      </c>
      <c r="K44" s="5" t="s">
        <v>34</v>
      </c>
      <c r="L44" s="5" t="n">
        <f aca="false">IF($K44="",0,LEN($K44)-LEN(SUBSTITUTE($K44,",",""))+1)</f>
        <v>3</v>
      </c>
      <c r="M44" s="5" t="s">
        <v>35</v>
      </c>
      <c r="N44" s="5" t="str">
        <f aca="false">TRIM($A44&amp;" "&amp;IF($C44="",$R44,$C44&amp;" "&amp;$D44&amp;" "&amp;$E44&amp;" "&amp;$F44))</f>
        <v>Super Jasper Package 2212 SALEM ROAD SE Conyers GA 30013</v>
      </c>
      <c r="O44" s="5" t="str">
        <f aca="false">IF($P44&lt;&gt;"","Exclude",IF(AND($M44&lt;&gt;"Full address",$R44=""),"Needs address",IF($J44&lt;0.5,"Hold - low volume",IF(LEFT($W44,3)="Low","Verify address",IF($G44="Needs review","Needs premise review",IF($X44="Estimated","Ready - address estimated","Ready"))))))</f>
        <v>Ready</v>
      </c>
      <c r="P44" s="5"/>
      <c r="Q44" s="5" t="s">
        <v>36</v>
      </c>
      <c r="R44" s="5"/>
      <c r="S44" s="5"/>
      <c r="T44" s="7"/>
      <c r="U44" s="7"/>
      <c r="V44" s="5"/>
      <c r="W44" s="5"/>
      <c r="X44" s="5" t="s">
        <v>37</v>
      </c>
      <c r="Y44" s="8" t="str">
        <f aca="false">IF($C44&lt;&gt;"",TRIM($C44&amp;", "&amp;$D44&amp;", "&amp;$E44&amp;" "&amp;$F44),IF($R44&lt;&gt;"",$R44,IF($D44&lt;&gt;"",$D44&amp;", "&amp;$E44,$I44)))</f>
        <v>2212 SALEM ROAD SE, Conyers, GA 30013</v>
      </c>
    </row>
    <row r="45" customFormat="false" ht="15" hidden="false" customHeight="true" outlineLevel="0" collapsed="false">
      <c r="A45" s="5" t="s">
        <v>260</v>
      </c>
      <c r="B45" s="5" t="s">
        <v>261</v>
      </c>
      <c r="C45" s="5" t="s">
        <v>262</v>
      </c>
      <c r="D45" s="5" t="s">
        <v>91</v>
      </c>
      <c r="E45" s="5" t="s">
        <v>29</v>
      </c>
      <c r="F45" s="5" t="s">
        <v>263</v>
      </c>
      <c r="G45" s="5" t="s">
        <v>144</v>
      </c>
      <c r="H45" s="5" t="s">
        <v>32</v>
      </c>
      <c r="I45" s="5" t="s">
        <v>33</v>
      </c>
      <c r="J45" s="6" t="n">
        <v>6</v>
      </c>
      <c r="K45" s="5" t="s">
        <v>34</v>
      </c>
      <c r="L45" s="5" t="n">
        <f aca="false">IF($K45="",0,LEN($K45)-LEN(SUBSTITUTE($K45,",",""))+1)</f>
        <v>3</v>
      </c>
      <c r="M45" s="5" t="s">
        <v>35</v>
      </c>
      <c r="N45" s="5" t="str">
        <f aca="false">TRIM($A45&amp;" "&amp;IF($C45="",$R45,$C45&amp;" "&amp;$D45&amp;" "&amp;$E45&amp;" "&amp;$F45))</f>
        <v>Us 1 1923 Wesley Chapel Rd Decatur GA 30035</v>
      </c>
      <c r="O45" s="5" t="str">
        <f aca="false">IF($P45&lt;&gt;"","Exclude",IF(AND($M45&lt;&gt;"Full address",$R45=""),"Needs address",IF($J45&lt;0.5,"Hold - low volume",IF(LEFT($W45,3)="Low","Verify address",IF($G45="Needs review","Needs premise review",IF($X45="Estimated","Ready - address estimated","Ready"))))))</f>
        <v>Needs premise review</v>
      </c>
      <c r="P45" s="5"/>
      <c r="Q45" s="5" t="s">
        <v>36</v>
      </c>
      <c r="R45" s="5"/>
      <c r="S45" s="5"/>
      <c r="T45" s="7"/>
      <c r="U45" s="7"/>
      <c r="V45" s="5"/>
      <c r="W45" s="5"/>
      <c r="X45" s="5" t="s">
        <v>37</v>
      </c>
      <c r="Y45" s="8" t="str">
        <f aca="false">IF($C45&lt;&gt;"",TRIM($C45&amp;", "&amp;$D45&amp;", "&amp;$E45&amp;" "&amp;$F45),IF($R45&lt;&gt;"",$R45,IF($D45&lt;&gt;"",$D45&amp;", "&amp;$E45,$I45)))</f>
        <v>1923 Wesley Chapel Rd, Decatur, GA 30035</v>
      </c>
    </row>
    <row r="46" customFormat="false" ht="15" hidden="false" customHeight="true" outlineLevel="0" collapsed="false">
      <c r="A46" s="5" t="s">
        <v>264</v>
      </c>
      <c r="B46" s="5" t="s">
        <v>264</v>
      </c>
      <c r="C46" s="5"/>
      <c r="D46" s="5" t="s">
        <v>265</v>
      </c>
      <c r="E46" s="5" t="s">
        <v>147</v>
      </c>
      <c r="F46" s="5"/>
      <c r="G46" s="5" t="s">
        <v>31</v>
      </c>
      <c r="H46" s="5" t="s">
        <v>148</v>
      </c>
      <c r="I46" s="5" t="s">
        <v>149</v>
      </c>
      <c r="J46" s="6" t="n">
        <v>6</v>
      </c>
      <c r="K46" s="5" t="s">
        <v>87</v>
      </c>
      <c r="L46" s="5" t="n">
        <f aca="false">IF($K46="",0,LEN($K46)-LEN(SUBSTITUTE($K46,",",""))+1)</f>
        <v>5</v>
      </c>
      <c r="M46" s="5" t="s">
        <v>44</v>
      </c>
      <c r="N46" s="5" t="str">
        <f aca="false">TRIM($A46&amp;" "&amp;IF($C46="",$R46,$C46&amp;" "&amp;$D46&amp;" "&amp;$E46&amp;" "&amp;$F46))</f>
        <v>Island Spirits #5 10233 SC-905 Unit B, Longs, SC 29568</v>
      </c>
      <c r="O46" s="5" t="str">
        <f aca="false">IF($P46&lt;&gt;"","Exclude",IF(AND($M46&lt;&gt;"Full address",$R46=""),"Needs address",IF($J46&lt;0.5,"Hold - low volume",IF(LEFT($W46,3)="Low","Verify address",IF($G46="Needs review","Needs premise review",IF($X46="Estimated","Ready - address estimated","Ready"))))))</f>
        <v>Ready - address estimated</v>
      </c>
      <c r="P46" s="5"/>
      <c r="Q46" s="5" t="s">
        <v>150</v>
      </c>
      <c r="R46" s="5" t="s">
        <v>266</v>
      </c>
      <c r="S46" s="5" t="s">
        <v>267</v>
      </c>
      <c r="T46" s="7" t="n">
        <v>33.9247529</v>
      </c>
      <c r="U46" s="7" t="n">
        <v>-78.7500797</v>
      </c>
      <c r="V46" s="5" t="s">
        <v>268</v>
      </c>
      <c r="W46" s="5" t="s">
        <v>269</v>
      </c>
      <c r="X46" s="5" t="s">
        <v>50</v>
      </c>
      <c r="Y46" s="8" t="str">
        <f aca="false">IF($C46&lt;&gt;"",TRIM($C46&amp;", "&amp;$D46&amp;", "&amp;$E46&amp;" "&amp;$F46),IF($R46&lt;&gt;"",$R46,IF($D46&lt;&gt;"",$D46&amp;", "&amp;$E46,$I46)))</f>
        <v>10233 SC-905 Unit B, Longs, SC 29568</v>
      </c>
    </row>
    <row r="47" customFormat="false" ht="15" hidden="false" customHeight="true" outlineLevel="0" collapsed="false">
      <c r="A47" s="5" t="s">
        <v>270</v>
      </c>
      <c r="B47" s="5" t="s">
        <v>270</v>
      </c>
      <c r="C47" s="5"/>
      <c r="D47" s="5" t="s">
        <v>271</v>
      </c>
      <c r="E47" s="5" t="s">
        <v>40</v>
      </c>
      <c r="F47" s="5"/>
      <c r="G47" s="5" t="s">
        <v>31</v>
      </c>
      <c r="H47" s="5" t="s">
        <v>157</v>
      </c>
      <c r="I47" s="5" t="s">
        <v>42</v>
      </c>
      <c r="J47" s="6" t="n">
        <v>6</v>
      </c>
      <c r="K47" s="5" t="s">
        <v>34</v>
      </c>
      <c r="L47" s="5" t="n">
        <f aca="false">IF($K47="",0,LEN($K47)-LEN(SUBSTITUTE($K47,",",""))+1)</f>
        <v>3</v>
      </c>
      <c r="M47" s="5" t="s">
        <v>44</v>
      </c>
      <c r="N47" s="5" t="str">
        <f aca="false">TRIM($A47&amp;" "&amp;IF($C47="",$R47,$C47&amp;" "&amp;$D47&amp;" "&amp;$E47&amp;" "&amp;$F47))</f>
        <v>Juanitos Liquor Store 7810 N Loop Dr, El Paso, TX 79915</v>
      </c>
      <c r="O47" s="5" t="str">
        <f aca="false">IF($P47&lt;&gt;"","Exclude",IF(AND($M47&lt;&gt;"Full address",$R47=""),"Needs address",IF($J47&lt;0.5,"Hold - low volume",IF(LEFT($W47,3)="Low","Verify address",IF($G47="Needs review","Needs premise review",IF($X47="Estimated","Ready - address estimated","Ready"))))))</f>
        <v>Ready - address estimated</v>
      </c>
      <c r="P47" s="5"/>
      <c r="Q47" s="5" t="s">
        <v>45</v>
      </c>
      <c r="R47" s="5" t="s">
        <v>272</v>
      </c>
      <c r="S47" s="5" t="s">
        <v>273</v>
      </c>
      <c r="T47" s="7" t="n">
        <v>31.734929</v>
      </c>
      <c r="U47" s="7" t="n">
        <v>-106.359404</v>
      </c>
      <c r="V47" s="5" t="s">
        <v>274</v>
      </c>
      <c r="W47" s="5" t="s">
        <v>154</v>
      </c>
      <c r="X47" s="5" t="s">
        <v>50</v>
      </c>
      <c r="Y47" s="8" t="str">
        <f aca="false">IF($C47&lt;&gt;"",TRIM($C47&amp;", "&amp;$D47&amp;", "&amp;$E47&amp;" "&amp;$F47),IF($R47&lt;&gt;"",$R47,IF($D47&lt;&gt;"",$D47&amp;", "&amp;$E47,$I47)))</f>
        <v>7810 N Loop Dr, El Paso, TX 79915</v>
      </c>
    </row>
    <row r="48" customFormat="false" ht="15" hidden="false" customHeight="true" outlineLevel="0" collapsed="false">
      <c r="A48" s="5" t="s">
        <v>275</v>
      </c>
      <c r="B48" s="5" t="s">
        <v>276</v>
      </c>
      <c r="C48" s="5" t="s">
        <v>277</v>
      </c>
      <c r="D48" s="5" t="s">
        <v>278</v>
      </c>
      <c r="E48" s="5" t="s">
        <v>59</v>
      </c>
      <c r="F48" s="5" t="s">
        <v>279</v>
      </c>
      <c r="G48" s="5" t="s">
        <v>31</v>
      </c>
      <c r="H48" s="5" t="s">
        <v>280</v>
      </c>
      <c r="I48" s="5" t="s">
        <v>62</v>
      </c>
      <c r="J48" s="6" t="n">
        <v>5</v>
      </c>
      <c r="K48" s="5" t="s">
        <v>63</v>
      </c>
      <c r="L48" s="5" t="n">
        <f aca="false">IF($K48="",0,LEN($K48)-LEN(SUBSTITUTE($K48,",",""))+1)</f>
        <v>2</v>
      </c>
      <c r="M48" s="5" t="s">
        <v>35</v>
      </c>
      <c r="N48" s="5" t="str">
        <f aca="false">TRIM($A48&amp;" "&amp;IF($C48="",$R48,$C48&amp;" "&amp;$D48&amp;" "&amp;$E48&amp;" "&amp;$F48))</f>
        <v>East Valley Liquors 418 32 Rd Clifton CO 81520</v>
      </c>
      <c r="O48" s="5" t="str">
        <f aca="false">IF($P48&lt;&gt;"","Exclude",IF(AND($M48&lt;&gt;"Full address",$R48=""),"Needs address",IF($J48&lt;0.5,"Hold - low volume",IF(LEFT($W48,3)="Low","Verify address",IF($G48="Needs review","Needs premise review",IF($X48="Estimated","Ready - address estimated","Ready"))))))</f>
        <v>Ready</v>
      </c>
      <c r="P48" s="5"/>
      <c r="Q48" s="5" t="s">
        <v>64</v>
      </c>
      <c r="R48" s="5"/>
      <c r="S48" s="5"/>
      <c r="T48" s="7"/>
      <c r="U48" s="7"/>
      <c r="V48" s="5"/>
      <c r="W48" s="5"/>
      <c r="X48" s="5" t="s">
        <v>37</v>
      </c>
      <c r="Y48" s="8" t="str">
        <f aca="false">IF($C48&lt;&gt;"",TRIM($C48&amp;", "&amp;$D48&amp;", "&amp;$E48&amp;" "&amp;$F48),IF($R48&lt;&gt;"",$R48,IF($D48&lt;&gt;"",$D48&amp;", "&amp;$E48,$I48)))</f>
        <v>418 32 Rd, Clifton, CO 81520</v>
      </c>
    </row>
    <row r="49" customFormat="false" ht="15" hidden="false" customHeight="true" outlineLevel="0" collapsed="false">
      <c r="A49" s="5" t="s">
        <v>281</v>
      </c>
      <c r="B49" s="5" t="s">
        <v>282</v>
      </c>
      <c r="C49" s="5" t="s">
        <v>283</v>
      </c>
      <c r="D49" s="5" t="s">
        <v>58</v>
      </c>
      <c r="E49" s="5" t="s">
        <v>59</v>
      </c>
      <c r="F49" s="5" t="s">
        <v>284</v>
      </c>
      <c r="G49" s="5" t="s">
        <v>31</v>
      </c>
      <c r="H49" s="5" t="s">
        <v>61</v>
      </c>
      <c r="I49" s="5" t="s">
        <v>62</v>
      </c>
      <c r="J49" s="6" t="n">
        <v>5</v>
      </c>
      <c r="K49" s="5" t="s">
        <v>63</v>
      </c>
      <c r="L49" s="5" t="n">
        <f aca="false">IF($K49="",0,LEN($K49)-LEN(SUBSTITUTE($K49,",",""))+1)</f>
        <v>2</v>
      </c>
      <c r="M49" s="5" t="s">
        <v>35</v>
      </c>
      <c r="N49" s="5" t="str">
        <f aca="false">TRIM($A49&amp;" "&amp;IF($C49="",$R49,$C49&amp;" "&amp;$D49&amp;" "&amp;$E49&amp;" "&amp;$F49))</f>
        <v>Tower Landing Liquors 1155 S Tower Rd Aurora CO 80017</v>
      </c>
      <c r="O49" s="5" t="str">
        <f aca="false">IF($P49&lt;&gt;"","Exclude",IF(AND($M49&lt;&gt;"Full address",$R49=""),"Needs address",IF($J49&lt;0.5,"Hold - low volume",IF(LEFT($W49,3)="Low","Verify address",IF($G49="Needs review","Needs premise review",IF($X49="Estimated","Ready - address estimated","Ready"))))))</f>
        <v>Ready</v>
      </c>
      <c r="P49" s="5"/>
      <c r="Q49" s="5" t="s">
        <v>64</v>
      </c>
      <c r="R49" s="5"/>
      <c r="S49" s="5"/>
      <c r="T49" s="7"/>
      <c r="U49" s="7"/>
      <c r="V49" s="5"/>
      <c r="W49" s="5"/>
      <c r="X49" s="5" t="s">
        <v>37</v>
      </c>
      <c r="Y49" s="8" t="str">
        <f aca="false">IF($C49&lt;&gt;"",TRIM($C49&amp;", "&amp;$D49&amp;", "&amp;$E49&amp;" "&amp;$F49),IF($R49&lt;&gt;"",$R49,IF($D49&lt;&gt;"",$D49&amp;", "&amp;$E49,$I49)))</f>
        <v>1155 S Tower Rd, Aurora, CO 80017</v>
      </c>
    </row>
    <row r="50" customFormat="false" ht="15" hidden="false" customHeight="true" outlineLevel="0" collapsed="false">
      <c r="A50" s="5" t="s">
        <v>285</v>
      </c>
      <c r="B50" s="5" t="s">
        <v>285</v>
      </c>
      <c r="C50" s="5"/>
      <c r="D50" s="5" t="s">
        <v>286</v>
      </c>
      <c r="E50" s="5" t="s">
        <v>147</v>
      </c>
      <c r="F50" s="5"/>
      <c r="G50" s="5" t="s">
        <v>31</v>
      </c>
      <c r="H50" s="5" t="s">
        <v>148</v>
      </c>
      <c r="I50" s="5" t="s">
        <v>149</v>
      </c>
      <c r="J50" s="6" t="n">
        <v>5</v>
      </c>
      <c r="K50" s="5" t="s">
        <v>87</v>
      </c>
      <c r="L50" s="5" t="n">
        <f aca="false">IF($K50="",0,LEN($K50)-LEN(SUBSTITUTE($K50,",",""))+1)</f>
        <v>5</v>
      </c>
      <c r="M50" s="5" t="s">
        <v>44</v>
      </c>
      <c r="N50" s="5" t="str">
        <f aca="false">TRIM($A50&amp;" "&amp;IF($C50="",$R50,$C50&amp;" "&amp;$D50&amp;" "&amp;$E50&amp;" "&amp;$F50))</f>
        <v>AIKEN BEVERAGE 1551 Whiskey Rd, Aiken, SC 29803</v>
      </c>
      <c r="O50" s="5" t="str">
        <f aca="false">IF($P50&lt;&gt;"","Exclude",IF(AND($M50&lt;&gt;"Full address",$R50=""),"Needs address",IF($J50&lt;0.5,"Hold - low volume",IF(LEFT($W50,3)="Low","Verify address",IF($G50="Needs review","Needs premise review",IF($X50="Estimated","Ready - address estimated","Ready"))))))</f>
        <v>Ready - address estimated</v>
      </c>
      <c r="P50" s="5"/>
      <c r="Q50" s="5" t="s">
        <v>150</v>
      </c>
      <c r="R50" s="5" t="s">
        <v>287</v>
      </c>
      <c r="S50" s="5" t="s">
        <v>288</v>
      </c>
      <c r="T50" s="7" t="n">
        <v>33.5321888</v>
      </c>
      <c r="U50" s="7" t="n">
        <v>-81.7255593</v>
      </c>
      <c r="V50" s="5" t="s">
        <v>289</v>
      </c>
      <c r="W50" s="5" t="s">
        <v>154</v>
      </c>
      <c r="X50" s="5" t="s">
        <v>50</v>
      </c>
      <c r="Y50" s="8" t="str">
        <f aca="false">IF($C50&lt;&gt;"",TRIM($C50&amp;", "&amp;$D50&amp;", "&amp;$E50&amp;" "&amp;$F50),IF($R50&lt;&gt;"",$R50,IF($D50&lt;&gt;"",$D50&amp;", "&amp;$E50,$I50)))</f>
        <v>1551 Whiskey Rd, Aiken, SC 29803</v>
      </c>
    </row>
    <row r="51" customFormat="false" ht="15" hidden="false" customHeight="true" outlineLevel="0" collapsed="false">
      <c r="A51" s="5" t="s">
        <v>290</v>
      </c>
      <c r="B51" s="5" t="s">
        <v>290</v>
      </c>
      <c r="C51" s="5"/>
      <c r="D51" s="5" t="s">
        <v>291</v>
      </c>
      <c r="E51" s="5" t="s">
        <v>147</v>
      </c>
      <c r="F51" s="5"/>
      <c r="G51" s="5" t="s">
        <v>31</v>
      </c>
      <c r="H51" s="5" t="s">
        <v>148</v>
      </c>
      <c r="I51" s="5" t="s">
        <v>149</v>
      </c>
      <c r="J51" s="6" t="n">
        <v>5</v>
      </c>
      <c r="K51" s="5" t="s">
        <v>87</v>
      </c>
      <c r="L51" s="5" t="n">
        <f aca="false">IF($K51="",0,LEN($K51)-LEN(SUBSTITUTE($K51,",",""))+1)</f>
        <v>5</v>
      </c>
      <c r="M51" s="5" t="s">
        <v>44</v>
      </c>
      <c r="N51" s="5" t="str">
        <f aca="false">TRIM($A51&amp;" "&amp;IF($C51="",$R51,$C51&amp;" "&amp;$D51&amp;" "&amp;$E51&amp;" "&amp;$F51))</f>
        <v>COOSAW LIQUOR AND WINE 8600 Dorchester Rd Ste 404, North Charleston, SC 29420</v>
      </c>
      <c r="O51" s="5" t="str">
        <f aca="false">IF($P51&lt;&gt;"","Exclude",IF(AND($M51&lt;&gt;"Full address",$R51=""),"Needs address",IF($J51&lt;0.5,"Hold - low volume",IF(LEFT($W51,3)="Low","Verify address",IF($G51="Needs review","Needs premise review",IF($X51="Estimated","Ready - address estimated","Ready"))))))</f>
        <v>Ready - address estimated</v>
      </c>
      <c r="P51" s="5"/>
      <c r="Q51" s="5" t="s">
        <v>150</v>
      </c>
      <c r="R51" s="5" t="s">
        <v>292</v>
      </c>
      <c r="S51" s="5" t="s">
        <v>293</v>
      </c>
      <c r="T51" s="7" t="n">
        <v>32.9214368</v>
      </c>
      <c r="U51" s="7" t="n">
        <v>-80.117255</v>
      </c>
      <c r="V51" s="5" t="s">
        <v>294</v>
      </c>
      <c r="W51" s="5" t="s">
        <v>154</v>
      </c>
      <c r="X51" s="5" t="s">
        <v>50</v>
      </c>
      <c r="Y51" s="8" t="str">
        <f aca="false">IF($C51&lt;&gt;"",TRIM($C51&amp;", "&amp;$D51&amp;", "&amp;$E51&amp;" "&amp;$F51),IF($R51&lt;&gt;"",$R51,IF($D51&lt;&gt;"",$D51&amp;", "&amp;$E51,$I51)))</f>
        <v>8600 Dorchester Rd Ste 404, North Charleston, SC 29420</v>
      </c>
    </row>
    <row r="52" customFormat="false" ht="15" hidden="false" customHeight="true" outlineLevel="0" collapsed="false">
      <c r="A52" s="5" t="s">
        <v>295</v>
      </c>
      <c r="B52" s="5" t="s">
        <v>295</v>
      </c>
      <c r="C52" s="5"/>
      <c r="D52" s="5" t="s">
        <v>296</v>
      </c>
      <c r="E52" s="5" t="s">
        <v>147</v>
      </c>
      <c r="F52" s="5"/>
      <c r="G52" s="5" t="s">
        <v>31</v>
      </c>
      <c r="H52" s="5" t="s">
        <v>148</v>
      </c>
      <c r="I52" s="5" t="s">
        <v>149</v>
      </c>
      <c r="J52" s="6" t="n">
        <v>5</v>
      </c>
      <c r="K52" s="5" t="s">
        <v>87</v>
      </c>
      <c r="L52" s="5" t="n">
        <f aca="false">IF($K52="",0,LEN($K52)-LEN(SUBSTITUTE($K52,",",""))+1)</f>
        <v>5</v>
      </c>
      <c r="M52" s="5" t="s">
        <v>44</v>
      </c>
      <c r="N52" s="5" t="str">
        <f aca="false">TRIM($A52&amp;" "&amp;IF($C52="",$R52,$C52&amp;" "&amp;$D52&amp;" "&amp;$E52&amp;" "&amp;$F52))</f>
        <v>Johnson Price Abc 2650 US-501, Aynor, SC 29511</v>
      </c>
      <c r="O52" s="5" t="str">
        <f aca="false">IF($P52&lt;&gt;"","Exclude",IF(AND($M52&lt;&gt;"Full address",$R52=""),"Needs address",IF($J52&lt;0.5,"Hold - low volume",IF(LEFT($W52,3)="Low","Verify address",IF($G52="Needs review","Needs premise review",IF($X52="Estimated","Ready - address estimated","Ready"))))))</f>
        <v>Ready - address estimated</v>
      </c>
      <c r="P52" s="5"/>
      <c r="Q52" s="5" t="s">
        <v>150</v>
      </c>
      <c r="R52" s="5" t="s">
        <v>297</v>
      </c>
      <c r="S52" s="5" t="s">
        <v>298</v>
      </c>
      <c r="T52" s="7" t="n">
        <v>33.9976988</v>
      </c>
      <c r="U52" s="7" t="n">
        <v>-79.2055025</v>
      </c>
      <c r="V52" s="5" t="s">
        <v>299</v>
      </c>
      <c r="W52" s="5" t="s">
        <v>300</v>
      </c>
      <c r="X52" s="5" t="s">
        <v>50</v>
      </c>
      <c r="Y52" s="8" t="str">
        <f aca="false">IF($C52&lt;&gt;"",TRIM($C52&amp;", "&amp;$D52&amp;", "&amp;$E52&amp;" "&amp;$F52),IF($R52&lt;&gt;"",$R52,IF($D52&lt;&gt;"",$D52&amp;", "&amp;$E52,$I52)))</f>
        <v>2650 US-501, Aynor, SC 29511</v>
      </c>
    </row>
    <row r="53" customFormat="false" ht="15" hidden="false" customHeight="true" outlineLevel="0" collapsed="false">
      <c r="A53" s="5" t="s">
        <v>301</v>
      </c>
      <c r="B53" s="5" t="s">
        <v>301</v>
      </c>
      <c r="C53" s="5"/>
      <c r="D53" s="5" t="s">
        <v>302</v>
      </c>
      <c r="E53" s="5" t="s">
        <v>40</v>
      </c>
      <c r="F53" s="5"/>
      <c r="G53" s="5" t="s">
        <v>31</v>
      </c>
      <c r="H53" s="5" t="s">
        <v>41</v>
      </c>
      <c r="I53" s="5" t="s">
        <v>42</v>
      </c>
      <c r="J53" s="6" t="n">
        <v>5</v>
      </c>
      <c r="K53" s="5" t="s">
        <v>76</v>
      </c>
      <c r="L53" s="5" t="n">
        <f aca="false">IF($K53="",0,LEN($K53)-LEN(SUBSTITUTE($K53,",",""))+1)</f>
        <v>1</v>
      </c>
      <c r="M53" s="5" t="s">
        <v>44</v>
      </c>
      <c r="N53" s="5" t="str">
        <f aca="false">TRIM($A53&amp;" "&amp;IF($C53="",$R53,$C53&amp;" "&amp;$D53&amp;" "&amp;$E53&amp;" "&amp;$F53))</f>
        <v>American Liquor &amp; Wine 815 W 1st St, Justin, TX 76247</v>
      </c>
      <c r="O53" s="5" t="str">
        <f aca="false">IF($P53&lt;&gt;"","Exclude",IF(AND($M53&lt;&gt;"Full address",$R53=""),"Needs address",IF($J53&lt;0.5,"Hold - low volume",IF(LEFT($W53,3)="Low","Verify address",IF($G53="Needs review","Needs premise review",IF($X53="Estimated","Ready - address estimated","Ready"))))))</f>
        <v>Ready - address estimated</v>
      </c>
      <c r="P53" s="5"/>
      <c r="Q53" s="5" t="s">
        <v>45</v>
      </c>
      <c r="R53" s="5" t="s">
        <v>303</v>
      </c>
      <c r="S53" s="5" t="s">
        <v>304</v>
      </c>
      <c r="T53" s="7" t="n">
        <v>33.0848479</v>
      </c>
      <c r="U53" s="7" t="n">
        <v>-97.3053156</v>
      </c>
      <c r="V53" s="5" t="s">
        <v>305</v>
      </c>
      <c r="W53" s="5" t="s">
        <v>154</v>
      </c>
      <c r="X53" s="5" t="s">
        <v>50</v>
      </c>
      <c r="Y53" s="8" t="str">
        <f aca="false">IF($C53&lt;&gt;"",TRIM($C53&amp;", "&amp;$D53&amp;", "&amp;$E53&amp;" "&amp;$F53),IF($R53&lt;&gt;"",$R53,IF($D53&lt;&gt;"",$D53&amp;", "&amp;$E53,$I53)))</f>
        <v>815 W 1st St, Justin, TX 76247</v>
      </c>
    </row>
    <row r="54" customFormat="false" ht="15" hidden="false" customHeight="true" outlineLevel="0" collapsed="false">
      <c r="A54" s="5" t="s">
        <v>306</v>
      </c>
      <c r="B54" s="5" t="s">
        <v>307</v>
      </c>
      <c r="C54" s="5"/>
      <c r="D54" s="5" t="s">
        <v>308</v>
      </c>
      <c r="E54" s="5" t="s">
        <v>40</v>
      </c>
      <c r="F54" s="5"/>
      <c r="G54" s="5" t="s">
        <v>31</v>
      </c>
      <c r="H54" s="5" t="s">
        <v>157</v>
      </c>
      <c r="I54" s="5" t="s">
        <v>42</v>
      </c>
      <c r="J54" s="6" t="n">
        <v>5</v>
      </c>
      <c r="K54" s="5" t="s">
        <v>34</v>
      </c>
      <c r="L54" s="5" t="n">
        <f aca="false">IF($K54="",0,LEN($K54)-LEN(SUBSTITUTE($K54,",",""))+1)</f>
        <v>3</v>
      </c>
      <c r="M54" s="5" t="s">
        <v>44</v>
      </c>
      <c r="N54" s="5" t="str">
        <f aca="false">TRIM($A54&amp;" "&amp;IF($C54="",$R54,$C54&amp;" "&amp;$D54&amp;" "&amp;$E54&amp;" "&amp;$F54))</f>
        <v>Buffalo Chip Liquor, Beer and Wine 13290 I-27, Amarillo, TX 79119</v>
      </c>
      <c r="O54" s="5" t="str">
        <f aca="false">IF($P54&lt;&gt;"","Exclude",IF(AND($M54&lt;&gt;"Full address",$R54=""),"Needs address",IF($J54&lt;0.5,"Hold - low volume",IF(LEFT($W54,3)="Low","Verify address",IF($G54="Needs review","Needs premise review",IF($X54="Estimated","Ready - address estimated","Ready"))))))</f>
        <v>Ready - address estimated</v>
      </c>
      <c r="P54" s="5"/>
      <c r="Q54" s="5" t="s">
        <v>45</v>
      </c>
      <c r="R54" s="5" t="s">
        <v>309</v>
      </c>
      <c r="S54" s="5" t="s">
        <v>310</v>
      </c>
      <c r="T54" s="7" t="n">
        <v>35.0727113</v>
      </c>
      <c r="U54" s="7" t="n">
        <v>-101.9200061</v>
      </c>
      <c r="V54" s="5" t="s">
        <v>311</v>
      </c>
      <c r="W54" s="5" t="s">
        <v>300</v>
      </c>
      <c r="X54" s="5" t="s">
        <v>50</v>
      </c>
      <c r="Y54" s="8" t="str">
        <f aca="false">IF($C54&lt;&gt;"",TRIM($C54&amp;", "&amp;$D54&amp;", "&amp;$E54&amp;" "&amp;$F54),IF($R54&lt;&gt;"",$R54,IF($D54&lt;&gt;"",$D54&amp;", "&amp;$E54,$I54)))</f>
        <v>13290 I-27, Amarillo, TX 79119</v>
      </c>
    </row>
    <row r="55" customFormat="false" ht="15" hidden="false" customHeight="true" outlineLevel="0" collapsed="false">
      <c r="A55" s="5" t="s">
        <v>312</v>
      </c>
      <c r="B55" s="5" t="s">
        <v>312</v>
      </c>
      <c r="C55" s="5"/>
      <c r="D55" s="5" t="s">
        <v>313</v>
      </c>
      <c r="E55" s="5" t="s">
        <v>40</v>
      </c>
      <c r="F55" s="5"/>
      <c r="G55" s="5" t="s">
        <v>31</v>
      </c>
      <c r="H55" s="5" t="s">
        <v>41</v>
      </c>
      <c r="I55" s="5" t="s">
        <v>42</v>
      </c>
      <c r="J55" s="6" t="n">
        <v>5</v>
      </c>
      <c r="K55" s="5" t="s">
        <v>87</v>
      </c>
      <c r="L55" s="5" t="n">
        <f aca="false">IF($K55="",0,LEN($K55)-LEN(SUBSTITUTE($K55,",",""))+1)</f>
        <v>5</v>
      </c>
      <c r="M55" s="5" t="s">
        <v>44</v>
      </c>
      <c r="N55" s="5" t="str">
        <f aca="false">TRIM($A55&amp;" "&amp;IF($C55="",$R55,$C55&amp;" "&amp;$D55&amp;" "&amp;$E55&amp;" "&amp;$F55))</f>
        <v>CJ's Liquor(Terrell) 2810 E Main St, Mabank, TX 75147</v>
      </c>
      <c r="O55" s="5" t="str">
        <f aca="false">IF($P55&lt;&gt;"","Exclude",IF(AND($M55&lt;&gt;"Full address",$R55=""),"Needs address",IF($J55&lt;0.5,"Hold - low volume",IF(LEFT($W55,3)="Low","Verify address",IF($G55="Needs review","Needs premise review",IF($X55="Estimated","Ready - address estimated","Ready"))))))</f>
        <v>Verify address</v>
      </c>
      <c r="P55" s="5"/>
      <c r="Q55" s="5" t="s">
        <v>45</v>
      </c>
      <c r="R55" s="5" t="s">
        <v>314</v>
      </c>
      <c r="S55" s="5" t="s">
        <v>315</v>
      </c>
      <c r="T55" s="7" t="n">
        <v>32.3305781</v>
      </c>
      <c r="U55" s="7" t="n">
        <v>-96.043428</v>
      </c>
      <c r="V55" s="5" t="s">
        <v>316</v>
      </c>
      <c r="W55" s="5" t="s">
        <v>317</v>
      </c>
      <c r="X55" s="5" t="s">
        <v>50</v>
      </c>
      <c r="Y55" s="8" t="str">
        <f aca="false">IF($C55&lt;&gt;"",TRIM($C55&amp;", "&amp;$D55&amp;", "&amp;$E55&amp;" "&amp;$F55),IF($R55&lt;&gt;"",$R55,IF($D55&lt;&gt;"",$D55&amp;", "&amp;$E55,$I55)))</f>
        <v>2810 E Main St, Mabank, TX 75147</v>
      </c>
    </row>
    <row r="56" customFormat="false" ht="15" hidden="false" customHeight="true" outlineLevel="0" collapsed="false">
      <c r="A56" s="5" t="s">
        <v>318</v>
      </c>
      <c r="B56" s="5" t="s">
        <v>318</v>
      </c>
      <c r="C56" s="5"/>
      <c r="D56" s="5" t="s">
        <v>161</v>
      </c>
      <c r="E56" s="5" t="s">
        <v>147</v>
      </c>
      <c r="F56" s="5"/>
      <c r="G56" s="5" t="s">
        <v>31</v>
      </c>
      <c r="H56" s="5" t="s">
        <v>148</v>
      </c>
      <c r="I56" s="5" t="s">
        <v>149</v>
      </c>
      <c r="J56" s="6" t="n">
        <v>4</v>
      </c>
      <c r="K56" s="5" t="s">
        <v>319</v>
      </c>
      <c r="L56" s="5" t="n">
        <f aca="false">IF($K56="",0,LEN($K56)-LEN(SUBSTITUTE($K56,",",""))+1)</f>
        <v>1</v>
      </c>
      <c r="M56" s="5" t="s">
        <v>44</v>
      </c>
      <c r="N56" s="5" t="str">
        <f aca="false">TRIM($A56&amp;" "&amp;IF($C56="",$R56,$C56&amp;" "&amp;$D56&amp;" "&amp;$E56&amp;" "&amp;$F56))</f>
        <v>BEACH DISCOUNT BEVERAGES 2204 N Kings Hwy, Myrtle Beach, SC 29577</v>
      </c>
      <c r="O56" s="5" t="str">
        <f aca="false">IF($P56&lt;&gt;"","Exclude",IF(AND($M56&lt;&gt;"Full address",$R56=""),"Needs address",IF($J56&lt;0.5,"Hold - low volume",IF(LEFT($W56,3)="Low","Verify address",IF($G56="Needs review","Needs premise review",IF($X56="Estimated","Ready - address estimated","Ready"))))))</f>
        <v>Ready - address estimated</v>
      </c>
      <c r="P56" s="5"/>
      <c r="Q56" s="5" t="s">
        <v>150</v>
      </c>
      <c r="R56" s="5" t="s">
        <v>320</v>
      </c>
      <c r="S56" s="5" t="s">
        <v>321</v>
      </c>
      <c r="T56" s="7" t="n">
        <v>33.7031056</v>
      </c>
      <c r="U56" s="7" t="n">
        <v>-78.8705433</v>
      </c>
      <c r="V56" s="5" t="s">
        <v>322</v>
      </c>
      <c r="W56" s="5" t="s">
        <v>154</v>
      </c>
      <c r="X56" s="5" t="s">
        <v>50</v>
      </c>
      <c r="Y56" s="8" t="str">
        <f aca="false">IF($C56&lt;&gt;"",TRIM($C56&amp;", "&amp;$D56&amp;", "&amp;$E56&amp;" "&amp;$F56),IF($R56&lt;&gt;"",$R56,IF($D56&lt;&gt;"",$D56&amp;", "&amp;$E56,$I56)))</f>
        <v>2204 N Kings Hwy, Myrtle Beach, SC 29577</v>
      </c>
    </row>
    <row r="57" customFormat="false" ht="15" hidden="false" customHeight="true" outlineLevel="0" collapsed="false">
      <c r="A57" s="5" t="s">
        <v>323</v>
      </c>
      <c r="B57" s="5" t="s">
        <v>323</v>
      </c>
      <c r="C57" s="5"/>
      <c r="D57" s="5" t="s">
        <v>324</v>
      </c>
      <c r="E57" s="5" t="s">
        <v>147</v>
      </c>
      <c r="F57" s="5"/>
      <c r="G57" s="5" t="s">
        <v>31</v>
      </c>
      <c r="H57" s="5" t="s">
        <v>148</v>
      </c>
      <c r="I57" s="5" t="s">
        <v>149</v>
      </c>
      <c r="J57" s="6" t="n">
        <v>4</v>
      </c>
      <c r="K57" s="5" t="s">
        <v>325</v>
      </c>
      <c r="L57" s="5" t="n">
        <f aca="false">IF($K57="",0,LEN($K57)-LEN(SUBSTITUTE($K57,",",""))+1)</f>
        <v>3</v>
      </c>
      <c r="M57" s="5" t="s">
        <v>44</v>
      </c>
      <c r="N57" s="5" t="str">
        <f aca="false">TRIM($A57&amp;" "&amp;IF($C57="",$R57,$C57&amp;" "&amp;$D57&amp;" "&amp;$E57&amp;" "&amp;$F57))</f>
        <v>GREENS BEV Garners Ferry 6800 Garners Ferry Rd, Columbia, SC 29209</v>
      </c>
      <c r="O57" s="5" t="str">
        <f aca="false">IF($P57&lt;&gt;"","Exclude",IF(AND($M57&lt;&gt;"Full address",$R57=""),"Needs address",IF($J57&lt;0.5,"Hold - low volume",IF(LEFT($W57,3)="Low","Verify address",IF($G57="Needs review","Needs premise review",IF($X57="Estimated","Ready - address estimated","Ready"))))))</f>
        <v>Ready - address estimated</v>
      </c>
      <c r="P57" s="5"/>
      <c r="Q57" s="5" t="s">
        <v>150</v>
      </c>
      <c r="R57" s="5" t="s">
        <v>326</v>
      </c>
      <c r="S57" s="5" t="s">
        <v>327</v>
      </c>
      <c r="T57" s="7" t="n">
        <v>33.9781297</v>
      </c>
      <c r="U57" s="7" t="n">
        <v>-80.9567029</v>
      </c>
      <c r="V57" s="5" t="s">
        <v>328</v>
      </c>
      <c r="W57" s="5" t="s">
        <v>165</v>
      </c>
      <c r="X57" s="5" t="s">
        <v>50</v>
      </c>
      <c r="Y57" s="8" t="str">
        <f aca="false">IF($C57&lt;&gt;"",TRIM($C57&amp;", "&amp;$D57&amp;", "&amp;$E57&amp;" "&amp;$F57),IF($R57&lt;&gt;"",$R57,IF($D57&lt;&gt;"",$D57&amp;", "&amp;$E57,$I57)))</f>
        <v>6800 Garners Ferry Rd, Columbia, SC 29209</v>
      </c>
    </row>
    <row r="58" customFormat="false" ht="15" hidden="false" customHeight="true" outlineLevel="0" collapsed="false">
      <c r="A58" s="5" t="s">
        <v>329</v>
      </c>
      <c r="B58" s="5" t="s">
        <v>329</v>
      </c>
      <c r="C58" s="5"/>
      <c r="D58" s="5" t="s">
        <v>330</v>
      </c>
      <c r="E58" s="5" t="s">
        <v>147</v>
      </c>
      <c r="F58" s="5"/>
      <c r="G58" s="5" t="s">
        <v>31</v>
      </c>
      <c r="H58" s="5" t="s">
        <v>148</v>
      </c>
      <c r="I58" s="5" t="s">
        <v>149</v>
      </c>
      <c r="J58" s="6" t="n">
        <v>4</v>
      </c>
      <c r="K58" s="5" t="s">
        <v>43</v>
      </c>
      <c r="L58" s="5" t="n">
        <f aca="false">IF($K58="",0,LEN($K58)-LEN(SUBSTITUTE($K58,",",""))+1)</f>
        <v>4</v>
      </c>
      <c r="M58" s="5" t="s">
        <v>44</v>
      </c>
      <c r="N58" s="5" t="str">
        <f aca="false">TRIM($A58&amp;" "&amp;IF($C58="",$R58,$C58&amp;" "&amp;$D58&amp;" "&amp;$E58&amp;" "&amp;$F58))</f>
        <v>LOCAL LIQUOR 149 Riverwalk Blvd, Ridgeland, SC 29936</v>
      </c>
      <c r="O58" s="5" t="str">
        <f aca="false">IF($P58&lt;&gt;"","Exclude",IF(AND($M58&lt;&gt;"Full address",$R58=""),"Needs address",IF($J58&lt;0.5,"Hold - low volume",IF(LEFT($W58,3)="Low","Verify address",IF($G58="Needs review","Needs premise review",IF($X58="Estimated","Ready - address estimated","Ready"))))))</f>
        <v>Ready - address estimated</v>
      </c>
      <c r="P58" s="5"/>
      <c r="Q58" s="5" t="s">
        <v>150</v>
      </c>
      <c r="R58" s="5" t="s">
        <v>331</v>
      </c>
      <c r="S58" s="5" t="s">
        <v>332</v>
      </c>
      <c r="T58" s="7" t="n">
        <v>32.3207339</v>
      </c>
      <c r="U58" s="7" t="n">
        <v>-80.9352458</v>
      </c>
      <c r="V58" s="5" t="s">
        <v>333</v>
      </c>
      <c r="W58" s="5" t="s">
        <v>154</v>
      </c>
      <c r="X58" s="5" t="s">
        <v>50</v>
      </c>
      <c r="Y58" s="8" t="str">
        <f aca="false">IF($C58&lt;&gt;"",TRIM($C58&amp;", "&amp;$D58&amp;", "&amp;$E58&amp;" "&amp;$F58),IF($R58&lt;&gt;"",$R58,IF($D58&lt;&gt;"",$D58&amp;", "&amp;$E58,$I58)))</f>
        <v>149 Riverwalk Blvd, Ridgeland, SC 29936</v>
      </c>
    </row>
    <row r="59" customFormat="false" ht="15" hidden="false" customHeight="true" outlineLevel="0" collapsed="false">
      <c r="A59" s="5" t="s">
        <v>334</v>
      </c>
      <c r="B59" s="5" t="s">
        <v>334</v>
      </c>
      <c r="C59" s="5"/>
      <c r="D59" s="5" t="s">
        <v>335</v>
      </c>
      <c r="E59" s="5" t="s">
        <v>147</v>
      </c>
      <c r="F59" s="5"/>
      <c r="G59" s="5" t="s">
        <v>31</v>
      </c>
      <c r="H59" s="5" t="s">
        <v>148</v>
      </c>
      <c r="I59" s="5" t="s">
        <v>149</v>
      </c>
      <c r="J59" s="6" t="n">
        <v>4</v>
      </c>
      <c r="K59" s="5" t="s">
        <v>43</v>
      </c>
      <c r="L59" s="5" t="n">
        <f aca="false">IF($K59="",0,LEN($K59)-LEN(SUBSTITUTE($K59,",",""))+1)</f>
        <v>4</v>
      </c>
      <c r="M59" s="5" t="s">
        <v>44</v>
      </c>
      <c r="N59" s="5" t="str">
        <f aca="false">TRIM($A59&amp;" "&amp;IF($C59="",$R59,$C59&amp;" "&amp;$D59&amp;" "&amp;$E59&amp;" "&amp;$F59))</f>
        <v>WALL STREET LIQUOR AND WINE 168 Wall St Unit 202-203, Camden, SC 29020</v>
      </c>
      <c r="O59" s="5" t="str">
        <f aca="false">IF($P59&lt;&gt;"","Exclude",IF(AND($M59&lt;&gt;"Full address",$R59=""),"Needs address",IF($J59&lt;0.5,"Hold - low volume",IF(LEFT($W59,3)="Low","Verify address",IF($G59="Needs review","Needs premise review",IF($X59="Estimated","Ready - address estimated","Ready"))))))</f>
        <v>Ready - address estimated</v>
      </c>
      <c r="P59" s="5"/>
      <c r="Q59" s="5" t="s">
        <v>150</v>
      </c>
      <c r="R59" s="5" t="s">
        <v>336</v>
      </c>
      <c r="S59" s="5" t="s">
        <v>337</v>
      </c>
      <c r="T59" s="7" t="n">
        <v>34.2227538</v>
      </c>
      <c r="U59" s="7" t="n">
        <v>-80.5964791</v>
      </c>
      <c r="V59" s="5" t="s">
        <v>338</v>
      </c>
      <c r="W59" s="5" t="s">
        <v>154</v>
      </c>
      <c r="X59" s="5" t="s">
        <v>50</v>
      </c>
      <c r="Y59" s="8" t="str">
        <f aca="false">IF($C59&lt;&gt;"",TRIM($C59&amp;", "&amp;$D59&amp;", "&amp;$E59&amp;" "&amp;$F59),IF($R59&lt;&gt;"",$R59,IF($D59&lt;&gt;"",$D59&amp;", "&amp;$E59,$I59)))</f>
        <v>168 Wall St Unit 202-203, Camden, SC 29020</v>
      </c>
    </row>
    <row r="60" customFormat="false" ht="15" hidden="false" customHeight="true" outlineLevel="0" collapsed="false">
      <c r="A60" s="5" t="s">
        <v>339</v>
      </c>
      <c r="B60" s="5" t="s">
        <v>339</v>
      </c>
      <c r="C60" s="5"/>
      <c r="D60" s="5" t="s">
        <v>340</v>
      </c>
      <c r="E60" s="5" t="s">
        <v>40</v>
      </c>
      <c r="F60" s="5"/>
      <c r="G60" s="5" t="s">
        <v>31</v>
      </c>
      <c r="H60" s="5" t="s">
        <v>41</v>
      </c>
      <c r="I60" s="5" t="s">
        <v>42</v>
      </c>
      <c r="J60" s="6" t="n">
        <v>4</v>
      </c>
      <c r="K60" s="5" t="s">
        <v>34</v>
      </c>
      <c r="L60" s="5" t="n">
        <f aca="false">IF($K60="",0,LEN($K60)-LEN(SUBSTITUTE($K60,",",""))+1)</f>
        <v>3</v>
      </c>
      <c r="M60" s="5" t="s">
        <v>44</v>
      </c>
      <c r="N60" s="5" t="str">
        <f aca="false">TRIM($A60&amp;" "&amp;IF($C60="",$R60,$C60&amp;" "&amp;$D60&amp;" "&amp;$E60&amp;" "&amp;$F60))</f>
        <v>Goody Goody #28 1612 Airport Fwy, Bedford, TX 76022</v>
      </c>
      <c r="O60" s="5" t="str">
        <f aca="false">IF($P60&lt;&gt;"","Exclude",IF(AND($M60&lt;&gt;"Full address",$R60=""),"Needs address",IF($J60&lt;0.5,"Hold - low volume",IF(LEFT($W60,3)="Low","Verify address",IF($G60="Needs review","Needs premise review",IF($X60="Estimated","Ready - address estimated","Ready"))))))</f>
        <v>Ready - address estimated</v>
      </c>
      <c r="P60" s="5"/>
      <c r="Q60" s="5" t="s">
        <v>45</v>
      </c>
      <c r="R60" s="5" t="s">
        <v>341</v>
      </c>
      <c r="S60" s="5" t="s">
        <v>47</v>
      </c>
      <c r="T60" s="7" t="n">
        <v>32.8359837</v>
      </c>
      <c r="U60" s="7" t="n">
        <v>-97.1398191</v>
      </c>
      <c r="V60" s="5" t="s">
        <v>342</v>
      </c>
      <c r="W60" s="5" t="s">
        <v>49</v>
      </c>
      <c r="X60" s="5" t="s">
        <v>50</v>
      </c>
      <c r="Y60" s="8" t="str">
        <f aca="false">IF($C60&lt;&gt;"",TRIM($C60&amp;", "&amp;$D60&amp;", "&amp;$E60&amp;" "&amp;$F60),IF($R60&lt;&gt;"",$R60,IF($D60&lt;&gt;"",$D60&amp;", "&amp;$E60,$I60)))</f>
        <v>1612 Airport Fwy, Bedford, TX 76022</v>
      </c>
    </row>
    <row r="61" customFormat="false" ht="15" hidden="false" customHeight="true" outlineLevel="0" collapsed="false">
      <c r="A61" s="5" t="s">
        <v>343</v>
      </c>
      <c r="B61" s="5" t="s">
        <v>343</v>
      </c>
      <c r="C61" s="5"/>
      <c r="D61" s="5" t="s">
        <v>344</v>
      </c>
      <c r="E61" s="5" t="s">
        <v>40</v>
      </c>
      <c r="F61" s="5"/>
      <c r="G61" s="5" t="s">
        <v>31</v>
      </c>
      <c r="H61" s="5" t="s">
        <v>41</v>
      </c>
      <c r="I61" s="5" t="s">
        <v>42</v>
      </c>
      <c r="J61" s="6" t="n">
        <v>4</v>
      </c>
      <c r="K61" s="5" t="s">
        <v>70</v>
      </c>
      <c r="L61" s="5" t="n">
        <f aca="false">IF($K61="",0,LEN($K61)-LEN(SUBSTITUTE($K61,",",""))+1)</f>
        <v>4</v>
      </c>
      <c r="M61" s="5" t="s">
        <v>44</v>
      </c>
      <c r="N61" s="5" t="str">
        <f aca="false">TRIM($A61&amp;" "&amp;IF($C61="",$R61,$C61&amp;" "&amp;$D61&amp;" "&amp;$E61&amp;" "&amp;$F61))</f>
        <v>Reggis Liquor (McKinney) 210 Coit Rd Ste 210, McKinney, TX 75071</v>
      </c>
      <c r="O61" s="5" t="str">
        <f aca="false">IF($P61&lt;&gt;"","Exclude",IF(AND($M61&lt;&gt;"Full address",$R61=""),"Needs address",IF($J61&lt;0.5,"Hold - low volume",IF(LEFT($W61,3)="Low","Verify address",IF($G61="Needs review","Needs premise review",IF($X61="Estimated","Ready - address estimated","Ready"))))))</f>
        <v>Ready - address estimated</v>
      </c>
      <c r="P61" s="5"/>
      <c r="Q61" s="5" t="s">
        <v>45</v>
      </c>
      <c r="R61" s="5" t="s">
        <v>345</v>
      </c>
      <c r="S61" s="5" t="s">
        <v>346</v>
      </c>
      <c r="T61" s="7" t="n">
        <v>33.2048797</v>
      </c>
      <c r="U61" s="7" t="n">
        <v>-96.767049</v>
      </c>
      <c r="V61" s="5" t="s">
        <v>347</v>
      </c>
      <c r="W61" s="5" t="s">
        <v>154</v>
      </c>
      <c r="X61" s="5" t="s">
        <v>50</v>
      </c>
      <c r="Y61" s="8" t="str">
        <f aca="false">IF($C61&lt;&gt;"",TRIM($C61&amp;", "&amp;$D61&amp;", "&amp;$E61&amp;" "&amp;$F61),IF($R61&lt;&gt;"",$R61,IF($D61&lt;&gt;"",$D61&amp;", "&amp;$E61,$I61)))</f>
        <v>210 Coit Rd Ste 210, McKinney, TX 75071</v>
      </c>
    </row>
    <row r="62" customFormat="false" ht="15" hidden="false" customHeight="true" outlineLevel="0" collapsed="false">
      <c r="A62" s="5" t="s">
        <v>348</v>
      </c>
      <c r="B62" s="5" t="s">
        <v>348</v>
      </c>
      <c r="C62" s="5"/>
      <c r="D62" s="5" t="s">
        <v>349</v>
      </c>
      <c r="E62" s="5" t="s">
        <v>40</v>
      </c>
      <c r="F62" s="5"/>
      <c r="G62" s="5" t="s">
        <v>31</v>
      </c>
      <c r="H62" s="5" t="s">
        <v>41</v>
      </c>
      <c r="I62" s="5" t="s">
        <v>42</v>
      </c>
      <c r="J62" s="6" t="n">
        <v>4</v>
      </c>
      <c r="K62" s="5" t="s">
        <v>34</v>
      </c>
      <c r="L62" s="5" t="n">
        <f aca="false">IF($K62="",0,LEN($K62)-LEN(SUBSTITUTE($K62,",",""))+1)</f>
        <v>3</v>
      </c>
      <c r="M62" s="5" t="s">
        <v>44</v>
      </c>
      <c r="N62" s="5" t="str">
        <f aca="false">TRIM($A62&amp;" "&amp;IF($C62="",$R62,$C62&amp;" "&amp;$D62&amp;" "&amp;$E62&amp;" "&amp;$F62))</f>
        <v>Reggis Liquor (Sycamore) 5240 Sycamore School Rd, Fort Worth, TX 76123</v>
      </c>
      <c r="O62" s="5" t="str">
        <f aca="false">IF($P62&lt;&gt;"","Exclude",IF(AND($M62&lt;&gt;"Full address",$R62=""),"Needs address",IF($J62&lt;0.5,"Hold - low volume",IF(LEFT($W62,3)="Low","Verify address",IF($G62="Needs review","Needs premise review",IF($X62="Estimated","Ready - address estimated","Ready"))))))</f>
        <v>Ready - address estimated</v>
      </c>
      <c r="P62" s="5"/>
      <c r="Q62" s="5" t="s">
        <v>45</v>
      </c>
      <c r="R62" s="5" t="s">
        <v>350</v>
      </c>
      <c r="S62" s="5" t="s">
        <v>351</v>
      </c>
      <c r="T62" s="7" t="n">
        <v>32.6323598</v>
      </c>
      <c r="U62" s="7" t="n">
        <v>-97.4073121</v>
      </c>
      <c r="V62" s="5" t="s">
        <v>352</v>
      </c>
      <c r="W62" s="5" t="s">
        <v>154</v>
      </c>
      <c r="X62" s="5" t="s">
        <v>50</v>
      </c>
      <c r="Y62" s="8" t="str">
        <f aca="false">IF($C62&lt;&gt;"",TRIM($C62&amp;", "&amp;$D62&amp;", "&amp;$E62&amp;" "&amp;$F62),IF($R62&lt;&gt;"",$R62,IF($D62&lt;&gt;"",$D62&amp;", "&amp;$E62,$I62)))</f>
        <v>5240 Sycamore School Rd, Fort Worth, TX 76123</v>
      </c>
    </row>
    <row r="63" customFormat="false" ht="15" hidden="false" customHeight="true" outlineLevel="0" collapsed="false">
      <c r="A63" s="5" t="s">
        <v>353</v>
      </c>
      <c r="B63" s="5" t="s">
        <v>353</v>
      </c>
      <c r="C63" s="5"/>
      <c r="D63" s="5" t="s">
        <v>354</v>
      </c>
      <c r="E63" s="5" t="s">
        <v>40</v>
      </c>
      <c r="F63" s="5"/>
      <c r="G63" s="5" t="s">
        <v>31</v>
      </c>
      <c r="H63" s="5" t="s">
        <v>41</v>
      </c>
      <c r="I63" s="5" t="s">
        <v>42</v>
      </c>
      <c r="J63" s="6" t="n">
        <v>4</v>
      </c>
      <c r="K63" s="5" t="s">
        <v>63</v>
      </c>
      <c r="L63" s="5" t="n">
        <f aca="false">IF($K63="",0,LEN($K63)-LEN(SUBSTITUTE($K63,",",""))+1)</f>
        <v>2</v>
      </c>
      <c r="M63" s="5" t="s">
        <v>44</v>
      </c>
      <c r="N63" s="5" t="str">
        <f aca="false">TRIM($A63&amp;" "&amp;IF($C63="",$R63,$C63&amp;" "&amp;$D63&amp;" "&amp;$E63&amp;" "&amp;$F63))</f>
        <v>Spec's #150 Dallas Superstore 9500 N Central Expy #200, Dallas, TX 75231</v>
      </c>
      <c r="O63" s="5" t="str">
        <f aca="false">IF($P63&lt;&gt;"","Exclude",IF(AND($M63&lt;&gt;"Full address",$R63=""),"Needs address",IF($J63&lt;0.5,"Hold - low volume",IF(LEFT($W63,3)="Low","Verify address",IF($G63="Needs review","Needs premise review",IF($X63="Estimated","Ready - address estimated","Ready"))))))</f>
        <v>Ready - address estimated</v>
      </c>
      <c r="P63" s="5"/>
      <c r="Q63" s="5" t="s">
        <v>45</v>
      </c>
      <c r="R63" s="5" t="s">
        <v>355</v>
      </c>
      <c r="S63" s="5" t="s">
        <v>356</v>
      </c>
      <c r="T63" s="7" t="n">
        <v>32.8786908</v>
      </c>
      <c r="U63" s="7" t="n">
        <v>-96.7689573</v>
      </c>
      <c r="V63" s="5" t="s">
        <v>357</v>
      </c>
      <c r="W63" s="5" t="s">
        <v>49</v>
      </c>
      <c r="X63" s="5" t="s">
        <v>50</v>
      </c>
      <c r="Y63" s="8" t="str">
        <f aca="false">IF($C63&lt;&gt;"",TRIM($C63&amp;", "&amp;$D63&amp;", "&amp;$E63&amp;" "&amp;$F63),IF($R63&lt;&gt;"",$R63,IF($D63&lt;&gt;"",$D63&amp;", "&amp;$E63,$I63)))</f>
        <v>9500 N Central Expy #200, Dallas, TX 75231</v>
      </c>
    </row>
    <row r="64" customFormat="false" ht="15" hidden="false" customHeight="true" outlineLevel="0" collapsed="false">
      <c r="A64" s="5" t="s">
        <v>358</v>
      </c>
      <c r="B64" s="5" t="s">
        <v>358</v>
      </c>
      <c r="C64" s="5"/>
      <c r="D64" s="5" t="s">
        <v>359</v>
      </c>
      <c r="E64" s="5" t="s">
        <v>40</v>
      </c>
      <c r="F64" s="5"/>
      <c r="G64" s="5" t="s">
        <v>31</v>
      </c>
      <c r="H64" s="5" t="s">
        <v>360</v>
      </c>
      <c r="I64" s="5" t="s">
        <v>42</v>
      </c>
      <c r="J64" s="6" t="n">
        <v>4</v>
      </c>
      <c r="K64" s="5" t="s">
        <v>34</v>
      </c>
      <c r="L64" s="5" t="n">
        <f aca="false">IF($K64="",0,LEN($K64)-LEN(SUBSTITUTE($K64,",",""))+1)</f>
        <v>3</v>
      </c>
      <c r="M64" s="5" t="s">
        <v>44</v>
      </c>
      <c r="N64" s="5" t="str">
        <f aca="false">TRIM($A64&amp;" "&amp;IF($C64="",$R64,$C64&amp;" "&amp;$D64&amp;" "&amp;$E64&amp;" "&amp;$F64))</f>
        <v>Spec's #171 Ingram Festival Loop 6065 Northwest Loop 410 #108, San Antonio, TX 78238</v>
      </c>
      <c r="O64" s="5" t="str">
        <f aca="false">IF($P64&lt;&gt;"","Exclude",IF(AND($M64&lt;&gt;"Full address",$R64=""),"Needs address",IF($J64&lt;0.5,"Hold - low volume",IF(LEFT($W64,3)="Low","Verify address",IF($G64="Needs review","Needs premise review",IF($X64="Estimated","Ready - address estimated","Ready"))))))</f>
        <v>Ready - address estimated</v>
      </c>
      <c r="P64" s="5"/>
      <c r="Q64" s="5" t="s">
        <v>45</v>
      </c>
      <c r="R64" s="5" t="s">
        <v>361</v>
      </c>
      <c r="S64" s="5" t="s">
        <v>356</v>
      </c>
      <c r="T64" s="7" t="n">
        <v>29.4752218</v>
      </c>
      <c r="U64" s="7" t="n">
        <v>-98.6126469</v>
      </c>
      <c r="V64" s="5" t="s">
        <v>362</v>
      </c>
      <c r="W64" s="5" t="s">
        <v>49</v>
      </c>
      <c r="X64" s="5" t="s">
        <v>50</v>
      </c>
      <c r="Y64" s="8" t="str">
        <f aca="false">IF($C64&lt;&gt;"",TRIM($C64&amp;", "&amp;$D64&amp;", "&amp;$E64&amp;" "&amp;$F64),IF($R64&lt;&gt;"",$R64,IF($D64&lt;&gt;"",$D64&amp;", "&amp;$E64,$I64)))</f>
        <v>6065 Northwest Loop 410 #108, San Antonio, TX 78238</v>
      </c>
    </row>
    <row r="65" customFormat="false" ht="15" hidden="false" customHeight="true" outlineLevel="0" collapsed="false">
      <c r="A65" s="5" t="s">
        <v>363</v>
      </c>
      <c r="B65" s="5" t="s">
        <v>363</v>
      </c>
      <c r="C65" s="5"/>
      <c r="D65" s="5" t="s">
        <v>364</v>
      </c>
      <c r="E65" s="5" t="s">
        <v>40</v>
      </c>
      <c r="F65" s="5"/>
      <c r="G65" s="5" t="s">
        <v>31</v>
      </c>
      <c r="H65" s="5" t="s">
        <v>360</v>
      </c>
      <c r="I65" s="5" t="s">
        <v>42</v>
      </c>
      <c r="J65" s="6" t="n">
        <v>4</v>
      </c>
      <c r="K65" s="5" t="s">
        <v>63</v>
      </c>
      <c r="L65" s="5" t="n">
        <f aca="false">IF($K65="",0,LEN($K65)-LEN(SUBSTITUTE($K65,",",""))+1)</f>
        <v>2</v>
      </c>
      <c r="M65" s="5" t="s">
        <v>44</v>
      </c>
      <c r="N65" s="5" t="str">
        <f aca="false">TRIM($A65&amp;" "&amp;IF($C65="",$R65,$C65&amp;" "&amp;$D65&amp;" "&amp;$E65&amp;" "&amp;$F65))</f>
        <v>The Point Liquor #1 147 FM2483, Morgan's Point Resort, TX 76513</v>
      </c>
      <c r="O65" s="5" t="str">
        <f aca="false">IF($P65&lt;&gt;"","Exclude",IF(AND($M65&lt;&gt;"Full address",$R65=""),"Needs address",IF($J65&lt;0.5,"Hold - low volume",IF(LEFT($W65,3)="Low","Verify address",IF($G65="Needs review","Needs premise review",IF($X65="Estimated","Ready - address estimated","Ready"))))))</f>
        <v>Ready - address estimated</v>
      </c>
      <c r="P65" s="5"/>
      <c r="Q65" s="5" t="s">
        <v>45</v>
      </c>
      <c r="R65" s="5" t="s">
        <v>365</v>
      </c>
      <c r="S65" s="5" t="s">
        <v>366</v>
      </c>
      <c r="T65" s="7" t="n">
        <v>31.1470909</v>
      </c>
      <c r="U65" s="7" t="n">
        <v>-97.4595558</v>
      </c>
      <c r="V65" s="5" t="s">
        <v>367</v>
      </c>
      <c r="W65" s="5" t="s">
        <v>300</v>
      </c>
      <c r="X65" s="5" t="s">
        <v>50</v>
      </c>
      <c r="Y65" s="8" t="str">
        <f aca="false">IF($C65&lt;&gt;"",TRIM($C65&amp;", "&amp;$D65&amp;", "&amp;$E65&amp;" "&amp;$F65),IF($R65&lt;&gt;"",$R65,IF($D65&lt;&gt;"",$D65&amp;", "&amp;$E65,$I65)))</f>
        <v>147 FM2483, Morgan's Point Resort, TX 76513</v>
      </c>
    </row>
    <row r="66" customFormat="false" ht="15" hidden="false" customHeight="true" outlineLevel="0" collapsed="false">
      <c r="A66" s="5" t="s">
        <v>368</v>
      </c>
      <c r="B66" s="5" t="s">
        <v>368</v>
      </c>
      <c r="C66" s="5"/>
      <c r="D66" s="5" t="s">
        <v>271</v>
      </c>
      <c r="E66" s="5" t="s">
        <v>40</v>
      </c>
      <c r="F66" s="5"/>
      <c r="G66" s="5" t="s">
        <v>31</v>
      </c>
      <c r="H66" s="5" t="s">
        <v>157</v>
      </c>
      <c r="I66" s="5" t="s">
        <v>42</v>
      </c>
      <c r="J66" s="6" t="n">
        <v>4</v>
      </c>
      <c r="K66" s="5" t="s">
        <v>63</v>
      </c>
      <c r="L66" s="5" t="n">
        <f aca="false">IF($K66="",0,LEN($K66)-LEN(SUBSTITUTE($K66,",",""))+1)</f>
        <v>2</v>
      </c>
      <c r="M66" s="5" t="s">
        <v>44</v>
      </c>
      <c r="N66" s="5" t="str">
        <f aca="false">TRIM($A66&amp;" "&amp;IF($C66="",$R66,$C66&amp;" "&amp;$D66&amp;" "&amp;$E66&amp;" "&amp;$F66))</f>
        <v>WB Liquors #88 6104 N Mesa St, El Paso, TX 79912</v>
      </c>
      <c r="O66" s="5" t="str">
        <f aca="false">IF($P66&lt;&gt;"","Exclude",IF(AND($M66&lt;&gt;"Full address",$R66=""),"Needs address",IF($J66&lt;0.5,"Hold - low volume",IF(LEFT($W66,3)="Low","Verify address",IF($G66="Needs review","Needs premise review",IF($X66="Estimated","Ready - address estimated","Ready"))))))</f>
        <v>Ready - address estimated</v>
      </c>
      <c r="P66" s="5"/>
      <c r="Q66" s="5" t="s">
        <v>45</v>
      </c>
      <c r="R66" s="5" t="s">
        <v>369</v>
      </c>
      <c r="S66" s="5" t="s">
        <v>370</v>
      </c>
      <c r="T66" s="7" t="n">
        <v>31.8315044</v>
      </c>
      <c r="U66" s="7" t="n">
        <v>-106.5309708</v>
      </c>
      <c r="V66" s="5" t="s">
        <v>371</v>
      </c>
      <c r="W66" s="5" t="s">
        <v>269</v>
      </c>
      <c r="X66" s="5" t="s">
        <v>50</v>
      </c>
      <c r="Y66" s="8" t="str">
        <f aca="false">IF($C66&lt;&gt;"",TRIM($C66&amp;", "&amp;$D66&amp;", "&amp;$E66&amp;" "&amp;$F66),IF($R66&lt;&gt;"",$R66,IF($D66&lt;&gt;"",$D66&amp;", "&amp;$E66,$I66)))</f>
        <v>6104 N Mesa St, El Paso, TX 79912</v>
      </c>
    </row>
    <row r="67" customFormat="false" ht="15" hidden="false" customHeight="true" outlineLevel="0" collapsed="false">
      <c r="A67" s="5" t="s">
        <v>372</v>
      </c>
      <c r="B67" s="5" t="s">
        <v>372</v>
      </c>
      <c r="C67" s="5" t="s">
        <v>373</v>
      </c>
      <c r="D67" s="5" t="s">
        <v>374</v>
      </c>
      <c r="E67" s="5" t="s">
        <v>375</v>
      </c>
      <c r="F67" s="5" t="s">
        <v>376</v>
      </c>
      <c r="G67" s="5" t="s">
        <v>377</v>
      </c>
      <c r="H67" s="5" t="s">
        <v>378</v>
      </c>
      <c r="I67" s="5" t="s">
        <v>379</v>
      </c>
      <c r="J67" s="6" t="n">
        <v>3.8333</v>
      </c>
      <c r="K67" s="5" t="s">
        <v>87</v>
      </c>
      <c r="L67" s="5" t="n">
        <f aca="false">IF($K67="",0,LEN($K67)-LEN(SUBSTITUTE($K67,",",""))+1)</f>
        <v>5</v>
      </c>
      <c r="M67" s="5" t="s">
        <v>35</v>
      </c>
      <c r="N67" s="5" t="str">
        <f aca="false">TRIM($A67&amp;" "&amp;IF($C67="",$R67,$C67&amp;" "&amp;$D67&amp;" "&amp;$E67&amp;" "&amp;$F67))</f>
        <v>Good Times Wine Spirits &amp; Brew 1369 Interstate Drive Crossville TN 38555</v>
      </c>
      <c r="O67" s="5" t="str">
        <f aca="false">IF($P67&lt;&gt;"","Exclude",IF(AND($M67&lt;&gt;"Full address",$R67=""),"Needs address",IF($J67&lt;0.5,"Hold - low volume",IF(LEFT($W67,3)="Low","Verify address",IF($G67="Needs review","Needs premise review",IF($X67="Estimated","Ready - address estimated","Ready"))))))</f>
        <v>Ready</v>
      </c>
      <c r="P67" s="5"/>
      <c r="Q67" s="5" t="s">
        <v>380</v>
      </c>
      <c r="R67" s="5"/>
      <c r="S67" s="5"/>
      <c r="T67" s="7"/>
      <c r="U67" s="7"/>
      <c r="V67" s="5"/>
      <c r="W67" s="5"/>
      <c r="X67" s="5" t="s">
        <v>37</v>
      </c>
      <c r="Y67" s="8" t="str">
        <f aca="false">IF($C67&lt;&gt;"",TRIM($C67&amp;", "&amp;$D67&amp;", "&amp;$E67&amp;" "&amp;$F67),IF($R67&lt;&gt;"",$R67,IF($D67&lt;&gt;"",$D67&amp;", "&amp;$E67,$I67)))</f>
        <v>1369 Interstate Drive, Crossville, TN 38555</v>
      </c>
    </row>
    <row r="68" customFormat="false" ht="15" hidden="false" customHeight="true" outlineLevel="0" collapsed="false">
      <c r="A68" s="5" t="s">
        <v>381</v>
      </c>
      <c r="B68" s="5" t="s">
        <v>381</v>
      </c>
      <c r="C68" s="5"/>
      <c r="D68" s="5" t="s">
        <v>382</v>
      </c>
      <c r="E68" s="5" t="s">
        <v>182</v>
      </c>
      <c r="F68" s="5"/>
      <c r="G68" s="5" t="s">
        <v>31</v>
      </c>
      <c r="H68" s="5" t="s">
        <v>183</v>
      </c>
      <c r="I68" s="5" t="s">
        <v>184</v>
      </c>
      <c r="J68" s="6" t="n">
        <v>3.51</v>
      </c>
      <c r="K68" s="5" t="s">
        <v>34</v>
      </c>
      <c r="L68" s="5" t="n">
        <f aca="false">IF($K68="",0,LEN($K68)-LEN(SUBSTITUTE($K68,",",""))+1)</f>
        <v>3</v>
      </c>
      <c r="M68" s="5" t="s">
        <v>44</v>
      </c>
      <c r="N68" s="5" t="str">
        <f aca="false">TRIM($A68&amp;" "&amp;IF($C68="",$R68,$C68&amp;" "&amp;$D68&amp;" "&amp;$E68&amp;" "&amp;$F68))</f>
        <v>Jay Ashapuri Inc - Liquor Hub 21643 FL-7, Boca Raton, FL 33428</v>
      </c>
      <c r="O68" s="5" t="str">
        <f aca="false">IF($P68&lt;&gt;"","Exclude",IF(AND($M68&lt;&gt;"Full address",$R68=""),"Needs address",IF($J68&lt;0.5,"Hold - low volume",IF(LEFT($W68,3)="Low","Verify address",IF($G68="Needs review","Needs premise review",IF($X68="Estimated","Ready - address estimated","Ready"))))))</f>
        <v>Ready - address estimated</v>
      </c>
      <c r="P68" s="5"/>
      <c r="Q68" s="5" t="s">
        <v>185</v>
      </c>
      <c r="R68" s="5" t="s">
        <v>383</v>
      </c>
      <c r="S68" s="5" t="s">
        <v>384</v>
      </c>
      <c r="T68" s="7" t="n">
        <v>26.3546359</v>
      </c>
      <c r="U68" s="7" t="n">
        <v>-80.2047448</v>
      </c>
      <c r="V68" s="5" t="s">
        <v>385</v>
      </c>
      <c r="W68" s="5" t="s">
        <v>386</v>
      </c>
      <c r="X68" s="5" t="s">
        <v>50</v>
      </c>
      <c r="Y68" s="8" t="str">
        <f aca="false">IF($C68&lt;&gt;"",TRIM($C68&amp;", "&amp;$D68&amp;", "&amp;$E68&amp;" "&amp;$F68),IF($R68&lt;&gt;"",$R68,IF($D68&lt;&gt;"",$D68&amp;", "&amp;$E68,$I68)))</f>
        <v>21643 FL-7, Boca Raton, FL 33428</v>
      </c>
    </row>
    <row r="69" customFormat="false" ht="15" hidden="false" customHeight="true" outlineLevel="0" collapsed="false">
      <c r="A69" s="5" t="s">
        <v>387</v>
      </c>
      <c r="B69" s="5" t="s">
        <v>387</v>
      </c>
      <c r="C69" s="5"/>
      <c r="D69" s="5" t="s">
        <v>388</v>
      </c>
      <c r="E69" s="5" t="s">
        <v>40</v>
      </c>
      <c r="F69" s="5"/>
      <c r="G69" s="5" t="s">
        <v>31</v>
      </c>
      <c r="H69" s="5" t="s">
        <v>41</v>
      </c>
      <c r="I69" s="5" t="s">
        <v>42</v>
      </c>
      <c r="J69" s="6" t="n">
        <v>3.5</v>
      </c>
      <c r="K69" s="5" t="s">
        <v>389</v>
      </c>
      <c r="L69" s="5" t="n">
        <f aca="false">IF($K69="",0,LEN($K69)-LEN(SUBSTITUTE($K69,",",""))+1)</f>
        <v>3</v>
      </c>
      <c r="M69" s="5" t="s">
        <v>44</v>
      </c>
      <c r="N69" s="5" t="str">
        <f aca="false">TRIM($A69&amp;" "&amp;IF($C69="",$R69,$C69&amp;" "&amp;$D69&amp;" "&amp;$E69&amp;" "&amp;$F69))</f>
        <v>G04 Liquor</v>
      </c>
      <c r="O69" s="5" t="str">
        <f aca="false">IF($P69&lt;&gt;"","Exclude",IF(AND($M69&lt;&gt;"Full address",$R69=""),"Needs address",IF($J69&lt;0.5,"Hold - low volume",IF(LEFT($W69,3)="Low","Verify address",IF($G69="Needs review","Needs premise review",IF($X69="Estimated","Ready - address estimated","Ready"))))))</f>
        <v>Needs address</v>
      </c>
      <c r="P69" s="5"/>
      <c r="Q69" s="5" t="s">
        <v>45</v>
      </c>
      <c r="R69" s="5"/>
      <c r="S69" s="5"/>
      <c r="T69" s="7"/>
      <c r="U69" s="7"/>
      <c r="V69" s="5"/>
      <c r="W69" s="5"/>
      <c r="X69" s="5" t="s">
        <v>3</v>
      </c>
      <c r="Y69" s="8" t="str">
        <f aca="false">IF($C69&lt;&gt;"",TRIM($C69&amp;", "&amp;$D69&amp;", "&amp;$E69&amp;" "&amp;$F69),IF($R69&lt;&gt;"",$R69,IF($D69&lt;&gt;"",$D69&amp;", "&amp;$E69,$I69)))</f>
        <v>Irving, TX</v>
      </c>
    </row>
    <row r="70" customFormat="false" ht="15" hidden="false" customHeight="true" outlineLevel="0" collapsed="false">
      <c r="A70" s="5" t="s">
        <v>390</v>
      </c>
      <c r="B70" s="5" t="s">
        <v>391</v>
      </c>
      <c r="C70" s="5" t="s">
        <v>392</v>
      </c>
      <c r="D70" s="5" t="s">
        <v>393</v>
      </c>
      <c r="E70" s="5" t="s">
        <v>59</v>
      </c>
      <c r="F70" s="5" t="s">
        <v>394</v>
      </c>
      <c r="G70" s="5" t="s">
        <v>31</v>
      </c>
      <c r="H70" s="5" t="s">
        <v>61</v>
      </c>
      <c r="I70" s="5" t="s">
        <v>62</v>
      </c>
      <c r="J70" s="6" t="n">
        <v>3</v>
      </c>
      <c r="K70" s="5" t="s">
        <v>395</v>
      </c>
      <c r="L70" s="5" t="n">
        <f aca="false">IF($K70="",0,LEN($K70)-LEN(SUBSTITUTE($K70,",",""))+1)</f>
        <v>2</v>
      </c>
      <c r="M70" s="5" t="s">
        <v>35</v>
      </c>
      <c r="N70" s="5" t="str">
        <f aca="false">TRIM($A70&amp;" "&amp;IF($C70="",$R70,$C70&amp;" "&amp;$D70&amp;" "&amp;$E70&amp;" "&amp;$F70))</f>
        <v>Boss Liquors 5781 E 128th Ave Thornton CO 80602</v>
      </c>
      <c r="O70" s="5" t="str">
        <f aca="false">IF($P70&lt;&gt;"","Exclude",IF(AND($M70&lt;&gt;"Full address",$R70=""),"Needs address",IF($J70&lt;0.5,"Hold - low volume",IF(LEFT($W70,3)="Low","Verify address",IF($G70="Needs review","Needs premise review",IF($X70="Estimated","Ready - address estimated","Ready"))))))</f>
        <v>Ready</v>
      </c>
      <c r="P70" s="5"/>
      <c r="Q70" s="5" t="s">
        <v>64</v>
      </c>
      <c r="R70" s="5"/>
      <c r="S70" s="5"/>
      <c r="T70" s="7"/>
      <c r="U70" s="7"/>
      <c r="V70" s="5"/>
      <c r="W70" s="5"/>
      <c r="X70" s="5" t="s">
        <v>37</v>
      </c>
      <c r="Y70" s="8" t="str">
        <f aca="false">IF($C70&lt;&gt;"",TRIM($C70&amp;", "&amp;$D70&amp;", "&amp;$E70&amp;" "&amp;$F70),IF($R70&lt;&gt;"",$R70,IF($D70&lt;&gt;"",$D70&amp;", "&amp;$E70,$I70)))</f>
        <v>5781 E 128th Ave, Thornton, CO 80602</v>
      </c>
    </row>
    <row r="71" customFormat="false" ht="15" hidden="false" customHeight="true" outlineLevel="0" collapsed="false">
      <c r="A71" s="5" t="s">
        <v>396</v>
      </c>
      <c r="B71" s="5" t="s">
        <v>397</v>
      </c>
      <c r="C71" s="5" t="s">
        <v>398</v>
      </c>
      <c r="D71" s="5" t="s">
        <v>399</v>
      </c>
      <c r="E71" s="5" t="s">
        <v>59</v>
      </c>
      <c r="F71" s="5" t="s">
        <v>400</v>
      </c>
      <c r="G71" s="5" t="s">
        <v>31</v>
      </c>
      <c r="H71" s="5" t="s">
        <v>61</v>
      </c>
      <c r="I71" s="5" t="s">
        <v>62</v>
      </c>
      <c r="J71" s="6" t="n">
        <v>3</v>
      </c>
      <c r="K71" s="5" t="s">
        <v>63</v>
      </c>
      <c r="L71" s="5" t="n">
        <f aca="false">IF($K71="",0,LEN($K71)-LEN(SUBSTITUTE($K71,",",""))+1)</f>
        <v>2</v>
      </c>
      <c r="M71" s="5" t="s">
        <v>35</v>
      </c>
      <c r="N71" s="5" t="str">
        <f aca="false">TRIM($A71&amp;" "&amp;IF($C71="",$R71,$C71&amp;" "&amp;$D71&amp;" "&amp;$E71&amp;" "&amp;$F71))</f>
        <v>Chatfield Wine &amp; Spirits 8156 S Wadsworth Blvd Littleton CO 80128</v>
      </c>
      <c r="O71" s="5" t="str">
        <f aca="false">IF($P71&lt;&gt;"","Exclude",IF(AND($M71&lt;&gt;"Full address",$R71=""),"Needs address",IF($J71&lt;0.5,"Hold - low volume",IF(LEFT($W71,3)="Low","Verify address",IF($G71="Needs review","Needs premise review",IF($X71="Estimated","Ready - address estimated","Ready"))))))</f>
        <v>Ready</v>
      </c>
      <c r="P71" s="5"/>
      <c r="Q71" s="5" t="s">
        <v>64</v>
      </c>
      <c r="R71" s="5"/>
      <c r="S71" s="5"/>
      <c r="T71" s="7"/>
      <c r="U71" s="7"/>
      <c r="V71" s="5"/>
      <c r="W71" s="5"/>
      <c r="X71" s="5" t="s">
        <v>37</v>
      </c>
      <c r="Y71" s="8" t="str">
        <f aca="false">IF($C71&lt;&gt;"",TRIM($C71&amp;", "&amp;$D71&amp;", "&amp;$E71&amp;" "&amp;$F71),IF($R71&lt;&gt;"",$R71,IF($D71&lt;&gt;"",$D71&amp;", "&amp;$E71,$I71)))</f>
        <v>8156 S Wadsworth Blvd, Littleton, CO 80128</v>
      </c>
    </row>
    <row r="72" customFormat="false" ht="15" hidden="false" customHeight="true" outlineLevel="0" collapsed="false">
      <c r="A72" s="5" t="s">
        <v>401</v>
      </c>
      <c r="B72" s="5" t="s">
        <v>402</v>
      </c>
      <c r="C72" s="5" t="s">
        <v>403</v>
      </c>
      <c r="D72" s="5" t="s">
        <v>404</v>
      </c>
      <c r="E72" s="5" t="s">
        <v>59</v>
      </c>
      <c r="F72" s="5" t="s">
        <v>405</v>
      </c>
      <c r="G72" s="5" t="s">
        <v>31</v>
      </c>
      <c r="H72" s="5" t="s">
        <v>280</v>
      </c>
      <c r="I72" s="5" t="s">
        <v>62</v>
      </c>
      <c r="J72" s="6" t="n">
        <v>3</v>
      </c>
      <c r="K72" s="5" t="s">
        <v>389</v>
      </c>
      <c r="L72" s="5" t="n">
        <f aca="false">IF($K72="",0,LEN($K72)-LEN(SUBSTITUTE($K72,",",""))+1)</f>
        <v>3</v>
      </c>
      <c r="M72" s="5" t="s">
        <v>35</v>
      </c>
      <c r="N72" s="5" t="str">
        <f aca="false">TRIM($A72&amp;" "&amp;IF($C72="",$R72,$C72&amp;" "&amp;$D72&amp;" "&amp;$E72&amp;" "&amp;$F72))</f>
        <v>Kokopelli Liquors 2996 D Rd Grand Junction CO 81504</v>
      </c>
      <c r="O72" s="5" t="str">
        <f aca="false">IF($P72&lt;&gt;"","Exclude",IF(AND($M72&lt;&gt;"Full address",$R72=""),"Needs address",IF($J72&lt;0.5,"Hold - low volume",IF(LEFT($W72,3)="Low","Verify address",IF($G72="Needs review","Needs premise review",IF($X72="Estimated","Ready - address estimated","Ready"))))))</f>
        <v>Ready</v>
      </c>
      <c r="P72" s="5"/>
      <c r="Q72" s="5" t="s">
        <v>64</v>
      </c>
      <c r="R72" s="5"/>
      <c r="S72" s="5"/>
      <c r="T72" s="7"/>
      <c r="U72" s="7"/>
      <c r="V72" s="5"/>
      <c r="W72" s="5"/>
      <c r="X72" s="5" t="s">
        <v>37</v>
      </c>
      <c r="Y72" s="8" t="str">
        <f aca="false">IF($C72&lt;&gt;"",TRIM($C72&amp;", "&amp;$D72&amp;", "&amp;$E72&amp;" "&amp;$F72),IF($R72&lt;&gt;"",$R72,IF($D72&lt;&gt;"",$D72&amp;", "&amp;$E72,$I72)))</f>
        <v>2996 D Rd, Grand Junction, CO 81504</v>
      </c>
    </row>
    <row r="73" customFormat="false" ht="15" hidden="false" customHeight="true" outlineLevel="0" collapsed="false">
      <c r="A73" s="5" t="s">
        <v>406</v>
      </c>
      <c r="B73" s="5" t="s">
        <v>407</v>
      </c>
      <c r="C73" s="5" t="s">
        <v>408</v>
      </c>
      <c r="D73" s="5" t="s">
        <v>409</v>
      </c>
      <c r="E73" s="5" t="s">
        <v>59</v>
      </c>
      <c r="F73" s="5" t="s">
        <v>410</v>
      </c>
      <c r="G73" s="5" t="s">
        <v>31</v>
      </c>
      <c r="H73" s="5" t="s">
        <v>61</v>
      </c>
      <c r="I73" s="5" t="s">
        <v>62</v>
      </c>
      <c r="J73" s="6" t="n">
        <v>3</v>
      </c>
      <c r="K73" s="5" t="s">
        <v>63</v>
      </c>
      <c r="L73" s="5" t="n">
        <f aca="false">IF($K73="",0,LEN($K73)-LEN(SUBSTITUTE($K73,",",""))+1)</f>
        <v>2</v>
      </c>
      <c r="M73" s="5" t="s">
        <v>35</v>
      </c>
      <c r="N73" s="5" t="str">
        <f aca="false">TRIM($A73&amp;" "&amp;IF($C73="",$R73,$C73&amp;" "&amp;$D73&amp;" "&amp;$E73&amp;" "&amp;$F73))</f>
        <v>Levine Liquors Denver 1160 S Parker Rd Denver CO 80231</v>
      </c>
      <c r="O73" s="5" t="str">
        <f aca="false">IF($P73&lt;&gt;"","Exclude",IF(AND($M73&lt;&gt;"Full address",$R73=""),"Needs address",IF($J73&lt;0.5,"Hold - low volume",IF(LEFT($W73,3)="Low","Verify address",IF($G73="Needs review","Needs premise review",IF($X73="Estimated","Ready - address estimated","Ready"))))))</f>
        <v>Ready</v>
      </c>
      <c r="P73" s="5"/>
      <c r="Q73" s="5" t="s">
        <v>64</v>
      </c>
      <c r="R73" s="5"/>
      <c r="S73" s="5"/>
      <c r="T73" s="7"/>
      <c r="U73" s="7"/>
      <c r="V73" s="5"/>
      <c r="W73" s="5"/>
      <c r="X73" s="5" t="s">
        <v>37</v>
      </c>
      <c r="Y73" s="8" t="str">
        <f aca="false">IF($C73&lt;&gt;"",TRIM($C73&amp;", "&amp;$D73&amp;", "&amp;$E73&amp;" "&amp;$F73),IF($R73&lt;&gt;"",$R73,IF($D73&lt;&gt;"",$D73&amp;", "&amp;$E73,$I73)))</f>
        <v>1160 S Parker Rd, Denver, CO 80231</v>
      </c>
    </row>
    <row r="74" customFormat="false" ht="15" hidden="false" customHeight="true" outlineLevel="0" collapsed="false">
      <c r="A74" s="5" t="s">
        <v>411</v>
      </c>
      <c r="B74" s="5" t="s">
        <v>412</v>
      </c>
      <c r="C74" s="5" t="s">
        <v>413</v>
      </c>
      <c r="D74" s="5" t="s">
        <v>120</v>
      </c>
      <c r="E74" s="5" t="s">
        <v>29</v>
      </c>
      <c r="F74" s="5" t="s">
        <v>250</v>
      </c>
      <c r="G74" s="5" t="s">
        <v>31</v>
      </c>
      <c r="H74" s="5" t="s">
        <v>32</v>
      </c>
      <c r="I74" s="5" t="s">
        <v>33</v>
      </c>
      <c r="J74" s="6" t="n">
        <v>3</v>
      </c>
      <c r="K74" s="5" t="s">
        <v>414</v>
      </c>
      <c r="L74" s="5" t="n">
        <f aca="false">IF($K74="",0,LEN($K74)-LEN(SUBSTITUTE($K74,",",""))+1)</f>
        <v>2</v>
      </c>
      <c r="M74" s="5" t="s">
        <v>35</v>
      </c>
      <c r="N74" s="5" t="str">
        <f aca="false">TRIM($A74&amp;" "&amp;IF($C74="",$R74,$C74&amp;" "&amp;$D74&amp;" "&amp;$E74&amp;" "&amp;$F74))</f>
        <v>Affordable Spirits 1151 Chattahoochee Ave NW Atlanta GA 30318</v>
      </c>
      <c r="O74" s="5" t="str">
        <f aca="false">IF($P74&lt;&gt;"","Exclude",IF(AND($M74&lt;&gt;"Full address",$R74=""),"Needs address",IF($J74&lt;0.5,"Hold - low volume",IF(LEFT($W74,3)="Low","Verify address",IF($G74="Needs review","Needs premise review",IF($X74="Estimated","Ready - address estimated","Ready"))))))</f>
        <v>Ready</v>
      </c>
      <c r="P74" s="5"/>
      <c r="Q74" s="5" t="s">
        <v>36</v>
      </c>
      <c r="R74" s="5"/>
      <c r="S74" s="5"/>
      <c r="T74" s="7"/>
      <c r="U74" s="7"/>
      <c r="V74" s="5"/>
      <c r="W74" s="5"/>
      <c r="X74" s="5" t="s">
        <v>37</v>
      </c>
      <c r="Y74" s="8" t="str">
        <f aca="false">IF($C74&lt;&gt;"",TRIM($C74&amp;", "&amp;$D74&amp;", "&amp;$E74&amp;" "&amp;$F74),IF($R74&lt;&gt;"",$R74,IF($D74&lt;&gt;"",$D74&amp;", "&amp;$E74,$I74)))</f>
        <v>1151 Chattahoochee Ave NW, Atlanta, GA 30318</v>
      </c>
    </row>
    <row r="75" customFormat="false" ht="15" hidden="false" customHeight="true" outlineLevel="0" collapsed="false">
      <c r="A75" s="5" t="s">
        <v>415</v>
      </c>
      <c r="B75" s="5" t="s">
        <v>416</v>
      </c>
      <c r="C75" s="5" t="s">
        <v>417</v>
      </c>
      <c r="D75" s="5" t="s">
        <v>120</v>
      </c>
      <c r="E75" s="5" t="s">
        <v>29</v>
      </c>
      <c r="F75" s="5" t="s">
        <v>418</v>
      </c>
      <c r="G75" s="5" t="s">
        <v>31</v>
      </c>
      <c r="H75" s="5" t="s">
        <v>32</v>
      </c>
      <c r="I75" s="5" t="s">
        <v>33</v>
      </c>
      <c r="J75" s="6" t="n">
        <v>3</v>
      </c>
      <c r="K75" s="5" t="s">
        <v>63</v>
      </c>
      <c r="L75" s="5" t="n">
        <f aca="false">IF($K75="",0,LEN($K75)-LEN(SUBSTITUTE($K75,",",""))+1)</f>
        <v>2</v>
      </c>
      <c r="M75" s="5" t="s">
        <v>35</v>
      </c>
      <c r="N75" s="5" t="str">
        <f aca="false">TRIM($A75&amp;" "&amp;IF($C75="",$R75,$C75&amp;" "&amp;$D75&amp;" "&amp;$E75&amp;" "&amp;$F75))</f>
        <v>Atlanta Package 3268 BUFORD HIGHWAY Atlanta GA 30329</v>
      </c>
      <c r="O75" s="5" t="str">
        <f aca="false">IF($P75&lt;&gt;"","Exclude",IF(AND($M75&lt;&gt;"Full address",$R75=""),"Needs address",IF($J75&lt;0.5,"Hold - low volume",IF(LEFT($W75,3)="Low","Verify address",IF($G75="Needs review","Needs premise review",IF($X75="Estimated","Ready - address estimated","Ready"))))))</f>
        <v>Ready</v>
      </c>
      <c r="P75" s="5"/>
      <c r="Q75" s="5" t="s">
        <v>36</v>
      </c>
      <c r="R75" s="5"/>
      <c r="S75" s="5"/>
      <c r="T75" s="7"/>
      <c r="U75" s="7"/>
      <c r="V75" s="5"/>
      <c r="W75" s="5"/>
      <c r="X75" s="5" t="s">
        <v>37</v>
      </c>
      <c r="Y75" s="8" t="str">
        <f aca="false">IF($C75&lt;&gt;"",TRIM($C75&amp;", "&amp;$D75&amp;", "&amp;$E75&amp;" "&amp;$F75),IF($R75&lt;&gt;"",$R75,IF($D75&lt;&gt;"",$D75&amp;", "&amp;$E75,$I75)))</f>
        <v>3268 BUFORD HIGHWAY, Atlanta, GA 30329</v>
      </c>
    </row>
    <row r="76" customFormat="false" ht="15" hidden="false" customHeight="true" outlineLevel="0" collapsed="false">
      <c r="A76" s="5" t="s">
        <v>419</v>
      </c>
      <c r="B76" s="5" t="s">
        <v>420</v>
      </c>
      <c r="C76" s="5" t="s">
        <v>421</v>
      </c>
      <c r="D76" s="5" t="s">
        <v>120</v>
      </c>
      <c r="E76" s="5" t="s">
        <v>29</v>
      </c>
      <c r="F76" s="5" t="s">
        <v>422</v>
      </c>
      <c r="G76" s="5" t="s">
        <v>31</v>
      </c>
      <c r="H76" s="5" t="s">
        <v>32</v>
      </c>
      <c r="I76" s="5" t="s">
        <v>33</v>
      </c>
      <c r="J76" s="6" t="n">
        <v>3</v>
      </c>
      <c r="K76" s="5" t="s">
        <v>34</v>
      </c>
      <c r="L76" s="5" t="n">
        <f aca="false">IF($K76="",0,LEN($K76)-LEN(SUBSTITUTE($K76,",",""))+1)</f>
        <v>3</v>
      </c>
      <c r="M76" s="5" t="s">
        <v>35</v>
      </c>
      <c r="N76" s="5" t="str">
        <f aca="false">TRIM($A76&amp;" "&amp;IF($C76="",$R76,$C76&amp;" "&amp;$D76&amp;" "&amp;$E76&amp;" "&amp;$F76))</f>
        <v>Brookhaven Bottle Shop 4200 Peachtree Rd NE Atlanta GA 30319</v>
      </c>
      <c r="O76" s="5" t="str">
        <f aca="false">IF($P76&lt;&gt;"","Exclude",IF(AND($M76&lt;&gt;"Full address",$R76=""),"Needs address",IF($J76&lt;0.5,"Hold - low volume",IF(LEFT($W76,3)="Low","Verify address",IF($G76="Needs review","Needs premise review",IF($X76="Estimated","Ready - address estimated","Ready"))))))</f>
        <v>Ready</v>
      </c>
      <c r="P76" s="5"/>
      <c r="Q76" s="5" t="s">
        <v>36</v>
      </c>
      <c r="R76" s="5"/>
      <c r="S76" s="5"/>
      <c r="T76" s="7"/>
      <c r="U76" s="7"/>
      <c r="V76" s="5"/>
      <c r="W76" s="5"/>
      <c r="X76" s="5" t="s">
        <v>37</v>
      </c>
      <c r="Y76" s="8" t="str">
        <f aca="false">IF($C76&lt;&gt;"",TRIM($C76&amp;", "&amp;$D76&amp;", "&amp;$E76&amp;" "&amp;$F76),IF($R76&lt;&gt;"",$R76,IF($D76&lt;&gt;"",$D76&amp;", "&amp;$E76,$I76)))</f>
        <v>4200 Peachtree Rd NE, Atlanta, GA 30319</v>
      </c>
    </row>
    <row r="77" customFormat="false" ht="15" hidden="false" customHeight="true" outlineLevel="0" collapsed="false">
      <c r="A77" s="5" t="s">
        <v>423</v>
      </c>
      <c r="B77" s="5" t="s">
        <v>424</v>
      </c>
      <c r="C77" s="5" t="s">
        <v>425</v>
      </c>
      <c r="D77" s="5" t="s">
        <v>228</v>
      </c>
      <c r="E77" s="5" t="s">
        <v>29</v>
      </c>
      <c r="F77" s="5" t="s">
        <v>229</v>
      </c>
      <c r="G77" s="5" t="s">
        <v>31</v>
      </c>
      <c r="H77" s="5" t="s">
        <v>32</v>
      </c>
      <c r="I77" s="5" t="s">
        <v>33</v>
      </c>
      <c r="J77" s="6" t="n">
        <v>3</v>
      </c>
      <c r="K77" s="5" t="s">
        <v>426</v>
      </c>
      <c r="L77" s="5" t="n">
        <f aca="false">IF($K77="",0,LEN($K77)-LEN(SUBSTITUTE($K77,",",""))+1)</f>
        <v>1</v>
      </c>
      <c r="M77" s="5" t="s">
        <v>35</v>
      </c>
      <c r="N77" s="5" t="str">
        <f aca="false">TRIM($A77&amp;" "&amp;IF($C77="",$R77,$C77&amp;" "&amp;$D77&amp;" "&amp;$E77&amp;" "&amp;$F77))</f>
        <v>Eagle's Landing Bottle Shoppe #2 100 Eagles Landing Pkwy Stockbridge GA 30281</v>
      </c>
      <c r="O77" s="5" t="str">
        <f aca="false">IF($P77&lt;&gt;"","Exclude",IF(AND($M77&lt;&gt;"Full address",$R77=""),"Needs address",IF($J77&lt;0.5,"Hold - low volume",IF(LEFT($W77,3)="Low","Verify address",IF($G77="Needs review","Needs premise review",IF($X77="Estimated","Ready - address estimated","Ready"))))))</f>
        <v>Ready</v>
      </c>
      <c r="P77" s="5"/>
      <c r="Q77" s="5" t="s">
        <v>36</v>
      </c>
      <c r="R77" s="5"/>
      <c r="S77" s="5"/>
      <c r="T77" s="7"/>
      <c r="U77" s="7"/>
      <c r="V77" s="5"/>
      <c r="W77" s="5"/>
      <c r="X77" s="5" t="s">
        <v>37</v>
      </c>
      <c r="Y77" s="8" t="str">
        <f aca="false">IF($C77&lt;&gt;"",TRIM($C77&amp;", "&amp;$D77&amp;", "&amp;$E77&amp;" "&amp;$F77),IF($R77&lt;&gt;"",$R77,IF($D77&lt;&gt;"",$D77&amp;", "&amp;$E77,$I77)))</f>
        <v>100 Eagles Landing Pkwy, Stockbridge, GA 30281</v>
      </c>
    </row>
    <row r="78" customFormat="false" ht="15" hidden="false" customHeight="true" outlineLevel="0" collapsed="false">
      <c r="A78" s="5" t="s">
        <v>427</v>
      </c>
      <c r="B78" s="5" t="s">
        <v>428</v>
      </c>
      <c r="C78" s="5" t="s">
        <v>429</v>
      </c>
      <c r="D78" s="5" t="s">
        <v>430</v>
      </c>
      <c r="E78" s="5" t="s">
        <v>29</v>
      </c>
      <c r="F78" s="5" t="s">
        <v>431</v>
      </c>
      <c r="G78" s="5" t="s">
        <v>31</v>
      </c>
      <c r="H78" s="5" t="s">
        <v>32</v>
      </c>
      <c r="I78" s="5" t="s">
        <v>33</v>
      </c>
      <c r="J78" s="6" t="n">
        <v>3</v>
      </c>
      <c r="K78" s="5" t="s">
        <v>63</v>
      </c>
      <c r="L78" s="5" t="n">
        <f aca="false">IF($K78="",0,LEN($K78)-LEN(SUBSTITUTE($K78,",",""))+1)</f>
        <v>2</v>
      </c>
      <c r="M78" s="5" t="s">
        <v>35</v>
      </c>
      <c r="N78" s="5" t="str">
        <f aca="false">TRIM($A78&amp;" "&amp;IF($C78="",$R78,$C78&amp;" "&amp;$D78&amp;" "&amp;$E78&amp;" "&amp;$F78))</f>
        <v>East West Package 1025 E WEST CONNECTOR STE 605 Austell GA 30106</v>
      </c>
      <c r="O78" s="5" t="str">
        <f aca="false">IF($P78&lt;&gt;"","Exclude",IF(AND($M78&lt;&gt;"Full address",$R78=""),"Needs address",IF($J78&lt;0.5,"Hold - low volume",IF(LEFT($W78,3)="Low","Verify address",IF($G78="Needs review","Needs premise review",IF($X78="Estimated","Ready - address estimated","Ready"))))))</f>
        <v>Ready</v>
      </c>
      <c r="P78" s="5"/>
      <c r="Q78" s="5" t="s">
        <v>36</v>
      </c>
      <c r="R78" s="5"/>
      <c r="S78" s="5"/>
      <c r="T78" s="7"/>
      <c r="U78" s="7"/>
      <c r="V78" s="5"/>
      <c r="W78" s="5"/>
      <c r="X78" s="5" t="s">
        <v>37</v>
      </c>
      <c r="Y78" s="8" t="str">
        <f aca="false">IF($C78&lt;&gt;"",TRIM($C78&amp;", "&amp;$D78&amp;", "&amp;$E78&amp;" "&amp;$F78),IF($R78&lt;&gt;"",$R78,IF($D78&lt;&gt;"",$D78&amp;", "&amp;$E78,$I78)))</f>
        <v>1025 E WEST CONNECTOR STE 605, Austell, GA 30106</v>
      </c>
    </row>
    <row r="79" customFormat="false" ht="15" hidden="false" customHeight="true" outlineLevel="0" collapsed="false">
      <c r="A79" s="5" t="s">
        <v>432</v>
      </c>
      <c r="B79" s="5" t="s">
        <v>433</v>
      </c>
      <c r="C79" s="5" t="s">
        <v>434</v>
      </c>
      <c r="D79" s="5" t="s">
        <v>435</v>
      </c>
      <c r="E79" s="5" t="s">
        <v>29</v>
      </c>
      <c r="F79" s="5" t="s">
        <v>436</v>
      </c>
      <c r="G79" s="5" t="s">
        <v>377</v>
      </c>
      <c r="H79" s="5" t="s">
        <v>437</v>
      </c>
      <c r="I79" s="5" t="s">
        <v>33</v>
      </c>
      <c r="J79" s="6" t="n">
        <v>3</v>
      </c>
      <c r="K79" s="5" t="s">
        <v>76</v>
      </c>
      <c r="L79" s="5" t="n">
        <f aca="false">IF($K79="",0,LEN($K79)-LEN(SUBSTITUTE($K79,",",""))+1)</f>
        <v>1</v>
      </c>
      <c r="M79" s="5" t="s">
        <v>35</v>
      </c>
      <c r="N79" s="5" t="str">
        <f aca="false">TRIM($A79&amp;" "&amp;IF($C79="",$R79,$C79&amp;" "&amp;$D79&amp;" "&amp;$E79&amp;" "&amp;$F79))</f>
        <v>Flat Top Grill Pooler 125 Foxfield Way Pooler GA 31322</v>
      </c>
      <c r="O79" s="5" t="str">
        <f aca="false">IF($P79&lt;&gt;"","Exclude",IF(AND($M79&lt;&gt;"Full address",$R79=""),"Needs address",IF($J79&lt;0.5,"Hold - low volume",IF(LEFT($W79,3)="Low","Verify address",IF($G79="Needs review","Needs premise review",IF($X79="Estimated","Ready - address estimated","Ready"))))))</f>
        <v>Ready</v>
      </c>
      <c r="P79" s="5"/>
      <c r="Q79" s="5" t="s">
        <v>36</v>
      </c>
      <c r="R79" s="5"/>
      <c r="S79" s="5"/>
      <c r="T79" s="7"/>
      <c r="U79" s="7"/>
      <c r="V79" s="5"/>
      <c r="W79" s="5"/>
      <c r="X79" s="5" t="s">
        <v>37</v>
      </c>
      <c r="Y79" s="8" t="str">
        <f aca="false">IF($C79&lt;&gt;"",TRIM($C79&amp;", "&amp;$D79&amp;", "&amp;$E79&amp;" "&amp;$F79),IF($R79&lt;&gt;"",$R79,IF($D79&lt;&gt;"",$D79&amp;", "&amp;$E79,$I79)))</f>
        <v>125 Foxfield Way, Pooler, GA 31322</v>
      </c>
    </row>
    <row r="80" customFormat="false" ht="15" hidden="false" customHeight="true" outlineLevel="0" collapsed="false">
      <c r="A80" s="5" t="s">
        <v>438</v>
      </c>
      <c r="B80" s="5" t="s">
        <v>439</v>
      </c>
      <c r="C80" s="5" t="s">
        <v>440</v>
      </c>
      <c r="D80" s="5" t="s">
        <v>441</v>
      </c>
      <c r="E80" s="5" t="s">
        <v>29</v>
      </c>
      <c r="F80" s="5" t="s">
        <v>442</v>
      </c>
      <c r="G80" s="5" t="s">
        <v>31</v>
      </c>
      <c r="H80" s="5" t="s">
        <v>32</v>
      </c>
      <c r="I80" s="5" t="s">
        <v>33</v>
      </c>
      <c r="J80" s="6" t="n">
        <v>3</v>
      </c>
      <c r="K80" s="5" t="s">
        <v>426</v>
      </c>
      <c r="L80" s="5" t="n">
        <f aca="false">IF($K80="",0,LEN($K80)-LEN(SUBSTITUTE($K80,",",""))+1)</f>
        <v>1</v>
      </c>
      <c r="M80" s="5" t="s">
        <v>35</v>
      </c>
      <c r="N80" s="5" t="str">
        <f aca="false">TRIM($A80&amp;" "&amp;IF($C80="",$R80,$C80&amp;" "&amp;$D80&amp;" "&amp;$E80&amp;" "&amp;$F80))</f>
        <v>Georgia World of Beverage #28 8455 SENOIA ROAD Fairburn GA 30213</v>
      </c>
      <c r="O80" s="5" t="str">
        <f aca="false">IF($P80&lt;&gt;"","Exclude",IF(AND($M80&lt;&gt;"Full address",$R80=""),"Needs address",IF($J80&lt;0.5,"Hold - low volume",IF(LEFT($W80,3)="Low","Verify address",IF($G80="Needs review","Needs premise review",IF($X80="Estimated","Ready - address estimated","Ready"))))))</f>
        <v>Ready</v>
      </c>
      <c r="P80" s="5"/>
      <c r="Q80" s="5" t="s">
        <v>36</v>
      </c>
      <c r="R80" s="5"/>
      <c r="S80" s="5"/>
      <c r="T80" s="7"/>
      <c r="U80" s="7"/>
      <c r="V80" s="5"/>
      <c r="W80" s="5"/>
      <c r="X80" s="5" t="s">
        <v>37</v>
      </c>
      <c r="Y80" s="8" t="str">
        <f aca="false">IF($C80&lt;&gt;"",TRIM($C80&amp;", "&amp;$D80&amp;", "&amp;$E80&amp;" "&amp;$F80),IF($R80&lt;&gt;"",$R80,IF($D80&lt;&gt;"",$D80&amp;", "&amp;$E80,$I80)))</f>
        <v>8455 SENOIA ROAD, Fairburn, GA 30213</v>
      </c>
    </row>
    <row r="81" customFormat="false" ht="15" hidden="false" customHeight="true" outlineLevel="0" collapsed="false">
      <c r="A81" s="5" t="s">
        <v>443</v>
      </c>
      <c r="B81" s="5" t="s">
        <v>444</v>
      </c>
      <c r="C81" s="5" t="s">
        <v>445</v>
      </c>
      <c r="D81" s="5" t="s">
        <v>446</v>
      </c>
      <c r="E81" s="5" t="s">
        <v>29</v>
      </c>
      <c r="F81" s="5" t="s">
        <v>447</v>
      </c>
      <c r="G81" s="5" t="s">
        <v>31</v>
      </c>
      <c r="H81" s="5" t="s">
        <v>32</v>
      </c>
      <c r="I81" s="5" t="s">
        <v>33</v>
      </c>
      <c r="J81" s="6" t="n">
        <v>3</v>
      </c>
      <c r="K81" s="5" t="s">
        <v>63</v>
      </c>
      <c r="L81" s="5" t="n">
        <f aca="false">IF($K81="",0,LEN($K81)-LEN(SUBSTITUTE($K81,",",""))+1)</f>
        <v>2</v>
      </c>
      <c r="M81" s="5" t="s">
        <v>35</v>
      </c>
      <c r="N81" s="5" t="str">
        <f aca="false">TRIM($A81&amp;" "&amp;IF($C81="",$R81,$C81&amp;" "&amp;$D81&amp;" "&amp;$E81&amp;" "&amp;$F81))</f>
        <v>Hilltop Beverage 12 Hefner Street Ste 109 East Ellijay GA 30540</v>
      </c>
      <c r="O81" s="5" t="str">
        <f aca="false">IF($P81&lt;&gt;"","Exclude",IF(AND($M81&lt;&gt;"Full address",$R81=""),"Needs address",IF($J81&lt;0.5,"Hold - low volume",IF(LEFT($W81,3)="Low","Verify address",IF($G81="Needs review","Needs premise review",IF($X81="Estimated","Ready - address estimated","Ready"))))))</f>
        <v>Ready</v>
      </c>
      <c r="P81" s="5"/>
      <c r="Q81" s="5" t="s">
        <v>36</v>
      </c>
      <c r="R81" s="5"/>
      <c r="S81" s="5"/>
      <c r="T81" s="7"/>
      <c r="U81" s="7"/>
      <c r="V81" s="5"/>
      <c r="W81" s="5"/>
      <c r="X81" s="5" t="s">
        <v>37</v>
      </c>
      <c r="Y81" s="8" t="str">
        <f aca="false">IF($C81&lt;&gt;"",TRIM($C81&amp;", "&amp;$D81&amp;", "&amp;$E81&amp;" "&amp;$F81),IF($R81&lt;&gt;"",$R81,IF($D81&lt;&gt;"",$D81&amp;", "&amp;$E81,$I81)))</f>
        <v>12 Hefner Street Ste 109, East Ellijay, GA 30540</v>
      </c>
    </row>
    <row r="82" customFormat="false" ht="15" hidden="false" customHeight="true" outlineLevel="0" collapsed="false">
      <c r="A82" s="5" t="s">
        <v>448</v>
      </c>
      <c r="B82" s="5" t="s">
        <v>449</v>
      </c>
      <c r="C82" s="5" t="s">
        <v>450</v>
      </c>
      <c r="D82" s="5" t="s">
        <v>451</v>
      </c>
      <c r="E82" s="5" t="s">
        <v>29</v>
      </c>
      <c r="F82" s="5" t="s">
        <v>452</v>
      </c>
      <c r="G82" s="5" t="s">
        <v>31</v>
      </c>
      <c r="H82" s="5" t="s">
        <v>32</v>
      </c>
      <c r="I82" s="5" t="s">
        <v>33</v>
      </c>
      <c r="J82" s="6" t="n">
        <v>3</v>
      </c>
      <c r="K82" s="5" t="s">
        <v>34</v>
      </c>
      <c r="L82" s="5" t="n">
        <f aca="false">IF($K82="",0,LEN($K82)-LEN(SUBSTITUTE($K82,",",""))+1)</f>
        <v>3</v>
      </c>
      <c r="M82" s="5" t="s">
        <v>35</v>
      </c>
      <c r="N82" s="5" t="str">
        <f aca="false">TRIM($A82&amp;" "&amp;IF($C82="",$R82,$C82&amp;" "&amp;$D82&amp;" "&amp;$E82&amp;" "&amp;$F82))</f>
        <v>Liberty Package 4568 Old Dixie Hwy Forest Park GA 30297</v>
      </c>
      <c r="O82" s="5" t="str">
        <f aca="false">IF($P82&lt;&gt;"","Exclude",IF(AND($M82&lt;&gt;"Full address",$R82=""),"Needs address",IF($J82&lt;0.5,"Hold - low volume",IF(LEFT($W82,3)="Low","Verify address",IF($G82="Needs review","Needs premise review",IF($X82="Estimated","Ready - address estimated","Ready"))))))</f>
        <v>Ready</v>
      </c>
      <c r="P82" s="5"/>
      <c r="Q82" s="5" t="s">
        <v>36</v>
      </c>
      <c r="R82" s="5"/>
      <c r="S82" s="5"/>
      <c r="T82" s="7"/>
      <c r="U82" s="7"/>
      <c r="V82" s="5"/>
      <c r="W82" s="5"/>
      <c r="X82" s="5" t="s">
        <v>37</v>
      </c>
      <c r="Y82" s="8" t="str">
        <f aca="false">IF($C82&lt;&gt;"",TRIM($C82&amp;", "&amp;$D82&amp;", "&amp;$E82&amp;" "&amp;$F82),IF($R82&lt;&gt;"",$R82,IF($D82&lt;&gt;"",$D82&amp;", "&amp;$E82,$I82)))</f>
        <v>4568 Old Dixie Hwy, Forest Park, GA 30297</v>
      </c>
    </row>
    <row r="83" customFormat="false" ht="15" hidden="false" customHeight="true" outlineLevel="0" collapsed="false">
      <c r="A83" s="5" t="s">
        <v>453</v>
      </c>
      <c r="B83" s="5" t="s">
        <v>454</v>
      </c>
      <c r="C83" s="5" t="s">
        <v>455</v>
      </c>
      <c r="D83" s="5" t="s">
        <v>68</v>
      </c>
      <c r="E83" s="5" t="s">
        <v>29</v>
      </c>
      <c r="F83" s="5" t="s">
        <v>456</v>
      </c>
      <c r="G83" s="5" t="s">
        <v>31</v>
      </c>
      <c r="H83" s="5" t="s">
        <v>32</v>
      </c>
      <c r="I83" s="5" t="s">
        <v>33</v>
      </c>
      <c r="J83" s="6" t="n">
        <v>3</v>
      </c>
      <c r="K83" s="5" t="s">
        <v>34</v>
      </c>
      <c r="L83" s="5" t="n">
        <f aca="false">IF($K83="",0,LEN($K83)-LEN(SUBSTITUTE($K83,",",""))+1)</f>
        <v>3</v>
      </c>
      <c r="M83" s="5" t="s">
        <v>35</v>
      </c>
      <c r="N83" s="5" t="str">
        <f aca="false">TRIM($A83&amp;" "&amp;IF($C83="",$R83,$C83&amp;" "&amp;$D83&amp;" "&amp;$E83&amp;" "&amp;$F83))</f>
        <v>Merchants Package Store 1272 Johnson Ferry Road Marietta GA 30068</v>
      </c>
      <c r="O83" s="5" t="str">
        <f aca="false">IF($P83&lt;&gt;"","Exclude",IF(AND($M83&lt;&gt;"Full address",$R83=""),"Needs address",IF($J83&lt;0.5,"Hold - low volume",IF(LEFT($W83,3)="Low","Verify address",IF($G83="Needs review","Needs premise review",IF($X83="Estimated","Ready - address estimated","Ready"))))))</f>
        <v>Ready</v>
      </c>
      <c r="P83" s="5"/>
      <c r="Q83" s="5" t="s">
        <v>36</v>
      </c>
      <c r="R83" s="5"/>
      <c r="S83" s="5"/>
      <c r="T83" s="7"/>
      <c r="U83" s="7"/>
      <c r="V83" s="5"/>
      <c r="W83" s="5"/>
      <c r="X83" s="5" t="s">
        <v>37</v>
      </c>
      <c r="Y83" s="8" t="str">
        <f aca="false">IF($C83&lt;&gt;"",TRIM($C83&amp;", "&amp;$D83&amp;", "&amp;$E83&amp;" "&amp;$F83),IF($R83&lt;&gt;"",$R83,IF($D83&lt;&gt;"",$D83&amp;", "&amp;$E83,$I83)))</f>
        <v>1272 Johnson Ferry Road, Marietta, GA 30068</v>
      </c>
    </row>
    <row r="84" customFormat="false" ht="15" hidden="false" customHeight="true" outlineLevel="0" collapsed="false">
      <c r="A84" s="5" t="s">
        <v>457</v>
      </c>
      <c r="B84" s="5" t="s">
        <v>458</v>
      </c>
      <c r="C84" s="5" t="s">
        <v>459</v>
      </c>
      <c r="D84" s="5" t="s">
        <v>460</v>
      </c>
      <c r="E84" s="5" t="s">
        <v>29</v>
      </c>
      <c r="F84" s="5" t="s">
        <v>461</v>
      </c>
      <c r="G84" s="5" t="s">
        <v>377</v>
      </c>
      <c r="H84" s="5" t="s">
        <v>32</v>
      </c>
      <c r="I84" s="5" t="s">
        <v>33</v>
      </c>
      <c r="J84" s="6" t="n">
        <v>3</v>
      </c>
      <c r="K84" s="5" t="s">
        <v>34</v>
      </c>
      <c r="L84" s="5" t="n">
        <f aca="false">IF($K84="",0,LEN($K84)-LEN(SUBSTITUTE($K84,",",""))+1)</f>
        <v>3</v>
      </c>
      <c r="M84" s="5" t="s">
        <v>35</v>
      </c>
      <c r="N84" s="5" t="str">
        <f aca="false">TRIM($A84&amp;" "&amp;IF($C84="",$R84,$C84&amp;" "&amp;$D84&amp;" "&amp;$E84&amp;" "&amp;$F84))</f>
        <v>Monarca Wings &amp; Mexican Restaurant 226 Sycamore Grove Ct Rockmart GA 30153</v>
      </c>
      <c r="O84" s="5" t="str">
        <f aca="false">IF($P84&lt;&gt;"","Exclude",IF(AND($M84&lt;&gt;"Full address",$R84=""),"Needs address",IF($J84&lt;0.5,"Hold - low volume",IF(LEFT($W84,3)="Low","Verify address",IF($G84="Needs review","Needs premise review",IF($X84="Estimated","Ready - address estimated","Ready"))))))</f>
        <v>Ready</v>
      </c>
      <c r="P84" s="5"/>
      <c r="Q84" s="5" t="s">
        <v>36</v>
      </c>
      <c r="R84" s="5"/>
      <c r="S84" s="5"/>
      <c r="T84" s="7"/>
      <c r="U84" s="7"/>
      <c r="V84" s="5"/>
      <c r="W84" s="5"/>
      <c r="X84" s="5" t="s">
        <v>37</v>
      </c>
      <c r="Y84" s="8" t="str">
        <f aca="false">IF($C84&lt;&gt;"",TRIM($C84&amp;", "&amp;$D84&amp;", "&amp;$E84&amp;" "&amp;$F84),IF($R84&lt;&gt;"",$R84,IF($D84&lt;&gt;"",$D84&amp;", "&amp;$E84,$I84)))</f>
        <v>226 Sycamore Grove Ct, Rockmart, GA 30153</v>
      </c>
    </row>
    <row r="85" customFormat="false" ht="15" hidden="false" customHeight="true" outlineLevel="0" collapsed="false">
      <c r="A85" s="5" t="s">
        <v>462</v>
      </c>
      <c r="B85" s="5" t="s">
        <v>463</v>
      </c>
      <c r="C85" s="5" t="s">
        <v>464</v>
      </c>
      <c r="D85" s="5" t="s">
        <v>68</v>
      </c>
      <c r="E85" s="5" t="s">
        <v>29</v>
      </c>
      <c r="F85" s="5" t="s">
        <v>465</v>
      </c>
      <c r="G85" s="5" t="s">
        <v>31</v>
      </c>
      <c r="H85" s="5" t="s">
        <v>32</v>
      </c>
      <c r="I85" s="5" t="s">
        <v>33</v>
      </c>
      <c r="J85" s="6" t="n">
        <v>3</v>
      </c>
      <c r="K85" s="5" t="s">
        <v>389</v>
      </c>
      <c r="L85" s="5" t="n">
        <f aca="false">IF($K85="",0,LEN($K85)-LEN(SUBSTITUTE($K85,",",""))+1)</f>
        <v>3</v>
      </c>
      <c r="M85" s="5" t="s">
        <v>35</v>
      </c>
      <c r="N85" s="5" t="str">
        <f aca="false">TRIM($A85&amp;" "&amp;IF($C85="",$R85,$C85&amp;" "&amp;$D85&amp;" "&amp;$E85&amp;" "&amp;$F85))</f>
        <v>Sidd's Beer Wine Spirits 1294 POWDER SPRINGS ST Marietta GA 30064</v>
      </c>
      <c r="O85" s="5" t="str">
        <f aca="false">IF($P85&lt;&gt;"","Exclude",IF(AND($M85&lt;&gt;"Full address",$R85=""),"Needs address",IF($J85&lt;0.5,"Hold - low volume",IF(LEFT($W85,3)="Low","Verify address",IF($G85="Needs review","Needs premise review",IF($X85="Estimated","Ready - address estimated","Ready"))))))</f>
        <v>Ready</v>
      </c>
      <c r="P85" s="5"/>
      <c r="Q85" s="5" t="s">
        <v>36</v>
      </c>
      <c r="R85" s="5"/>
      <c r="S85" s="5"/>
      <c r="T85" s="7"/>
      <c r="U85" s="7"/>
      <c r="V85" s="5"/>
      <c r="W85" s="5"/>
      <c r="X85" s="5" t="s">
        <v>37</v>
      </c>
      <c r="Y85" s="8" t="str">
        <f aca="false">IF($C85&lt;&gt;"",TRIM($C85&amp;", "&amp;$D85&amp;", "&amp;$E85&amp;" "&amp;$F85),IF($R85&lt;&gt;"",$R85,IF($D85&lt;&gt;"",$D85&amp;", "&amp;$E85,$I85)))</f>
        <v>1294 POWDER SPRINGS ST, Marietta, GA 30064</v>
      </c>
    </row>
    <row r="86" customFormat="false" ht="15" hidden="false" customHeight="true" outlineLevel="0" collapsed="false">
      <c r="A86" s="5" t="s">
        <v>466</v>
      </c>
      <c r="B86" s="5" t="s">
        <v>467</v>
      </c>
      <c r="C86" s="5" t="s">
        <v>468</v>
      </c>
      <c r="D86" s="5" t="s">
        <v>110</v>
      </c>
      <c r="E86" s="5" t="s">
        <v>29</v>
      </c>
      <c r="F86" s="5" t="s">
        <v>111</v>
      </c>
      <c r="G86" s="5" t="s">
        <v>31</v>
      </c>
      <c r="H86" s="5" t="s">
        <v>32</v>
      </c>
      <c r="I86" s="5" t="s">
        <v>33</v>
      </c>
      <c r="J86" s="6" t="n">
        <v>3</v>
      </c>
      <c r="K86" s="5" t="s">
        <v>469</v>
      </c>
      <c r="L86" s="5" t="n">
        <f aca="false">IF($K86="",0,LEN($K86)-LEN(SUBSTITUTE($K86,",",""))+1)</f>
        <v>1</v>
      </c>
      <c r="M86" s="5" t="s">
        <v>35</v>
      </c>
      <c r="N86" s="5" t="str">
        <f aca="false">TRIM($A86&amp;" "&amp;IF($C86="",$R86,$C86&amp;" "&amp;$D86&amp;" "&amp;$E86&amp;" "&amp;$F86))</f>
        <v>Summit Fine Wine and Spirits 832 GLYNN ST S Fayetteville GA 30214</v>
      </c>
      <c r="O86" s="5" t="str">
        <f aca="false">IF($P86&lt;&gt;"","Exclude",IF(AND($M86&lt;&gt;"Full address",$R86=""),"Needs address",IF($J86&lt;0.5,"Hold - low volume",IF(LEFT($W86,3)="Low","Verify address",IF($G86="Needs review","Needs premise review",IF($X86="Estimated","Ready - address estimated","Ready"))))))</f>
        <v>Ready</v>
      </c>
      <c r="P86" s="5"/>
      <c r="Q86" s="5" t="s">
        <v>36</v>
      </c>
      <c r="R86" s="5"/>
      <c r="S86" s="5"/>
      <c r="T86" s="7"/>
      <c r="U86" s="7"/>
      <c r="V86" s="5"/>
      <c r="W86" s="5"/>
      <c r="X86" s="5" t="s">
        <v>37</v>
      </c>
      <c r="Y86" s="8" t="str">
        <f aca="false">IF($C86&lt;&gt;"",TRIM($C86&amp;", "&amp;$D86&amp;", "&amp;$E86&amp;" "&amp;$F86),IF($R86&lt;&gt;"",$R86,IF($D86&lt;&gt;"",$D86&amp;", "&amp;$E86,$I86)))</f>
        <v>832 GLYNN ST S, Fayetteville, GA 30214</v>
      </c>
    </row>
    <row r="87" customFormat="false" ht="15" hidden="false" customHeight="true" outlineLevel="0" collapsed="false">
      <c r="A87" s="5" t="s">
        <v>470</v>
      </c>
      <c r="B87" s="5" t="s">
        <v>471</v>
      </c>
      <c r="C87" s="5" t="s">
        <v>472</v>
      </c>
      <c r="D87" s="5" t="s">
        <v>473</v>
      </c>
      <c r="E87" s="5" t="s">
        <v>29</v>
      </c>
      <c r="F87" s="5" t="s">
        <v>474</v>
      </c>
      <c r="G87" s="5" t="s">
        <v>31</v>
      </c>
      <c r="H87" s="5" t="s">
        <v>437</v>
      </c>
      <c r="I87" s="5" t="s">
        <v>33</v>
      </c>
      <c r="J87" s="6" t="n">
        <v>3</v>
      </c>
      <c r="K87" s="5" t="s">
        <v>395</v>
      </c>
      <c r="L87" s="5" t="n">
        <f aca="false">IF($K87="",0,LEN($K87)-LEN(SUBSTITUTE($K87,",",""))+1)</f>
        <v>2</v>
      </c>
      <c r="M87" s="5" t="s">
        <v>35</v>
      </c>
      <c r="N87" s="5" t="str">
        <f aca="false">TRIM($A87&amp;" "&amp;IF($C87="",$R87,$C87&amp;" "&amp;$D87&amp;" "&amp;$E87&amp;" "&amp;$F87))</f>
        <v>Wilmington Island Beverage 205 JOHNNY MERCER BLVD Savannah GA 31410</v>
      </c>
      <c r="O87" s="5" t="str">
        <f aca="false">IF($P87&lt;&gt;"","Exclude",IF(AND($M87&lt;&gt;"Full address",$R87=""),"Needs address",IF($J87&lt;0.5,"Hold - low volume",IF(LEFT($W87,3)="Low","Verify address",IF($G87="Needs review","Needs premise review",IF($X87="Estimated","Ready - address estimated","Ready"))))))</f>
        <v>Ready</v>
      </c>
      <c r="P87" s="5"/>
      <c r="Q87" s="5" t="s">
        <v>36</v>
      </c>
      <c r="R87" s="5"/>
      <c r="S87" s="5"/>
      <c r="T87" s="7"/>
      <c r="U87" s="7"/>
      <c r="V87" s="5"/>
      <c r="W87" s="5"/>
      <c r="X87" s="5" t="s">
        <v>37</v>
      </c>
      <c r="Y87" s="8" t="str">
        <f aca="false">IF($C87&lt;&gt;"",TRIM($C87&amp;", "&amp;$D87&amp;", "&amp;$E87&amp;" "&amp;$F87),IF($R87&lt;&gt;"",$R87,IF($D87&lt;&gt;"",$D87&amp;", "&amp;$E87,$I87)))</f>
        <v>205 JOHNNY MERCER BLVD, Savannah, GA 31410</v>
      </c>
    </row>
    <row r="88" customFormat="false" ht="15" hidden="false" customHeight="true" outlineLevel="0" collapsed="false">
      <c r="A88" s="5" t="s">
        <v>475</v>
      </c>
      <c r="B88" s="5" t="s">
        <v>476</v>
      </c>
      <c r="C88" s="5" t="s">
        <v>477</v>
      </c>
      <c r="D88" s="5" t="s">
        <v>478</v>
      </c>
      <c r="E88" s="5" t="s">
        <v>29</v>
      </c>
      <c r="F88" s="5" t="s">
        <v>479</v>
      </c>
      <c r="G88" s="5" t="s">
        <v>31</v>
      </c>
      <c r="H88" s="5" t="s">
        <v>32</v>
      </c>
      <c r="I88" s="5" t="s">
        <v>33</v>
      </c>
      <c r="J88" s="6" t="n">
        <v>3</v>
      </c>
      <c r="K88" s="5" t="s">
        <v>34</v>
      </c>
      <c r="L88" s="5" t="n">
        <f aca="false">IF($K88="",0,LEN($K88)-LEN(SUBSTITUTE($K88,",",""))+1)</f>
        <v>3</v>
      </c>
      <c r="M88" s="5" t="s">
        <v>35</v>
      </c>
      <c r="N88" s="5" t="str">
        <f aca="false">TRIM($A88&amp;" "&amp;IF($C88="",$R88,$C88&amp;" "&amp;$D88&amp;" "&amp;$E88&amp;" "&amp;$F88))</f>
        <v>Winters Fine Wine &amp; Spirits 6900 PEACHTREE INDUSTRIAL BLVD STE E-G Dunwoody GA 30360</v>
      </c>
      <c r="O88" s="5" t="str">
        <f aca="false">IF($P88&lt;&gt;"","Exclude",IF(AND($M88&lt;&gt;"Full address",$R88=""),"Needs address",IF($J88&lt;0.5,"Hold - low volume",IF(LEFT($W88,3)="Low","Verify address",IF($G88="Needs review","Needs premise review",IF($X88="Estimated","Ready - address estimated","Ready"))))))</f>
        <v>Ready</v>
      </c>
      <c r="P88" s="5"/>
      <c r="Q88" s="5" t="s">
        <v>36</v>
      </c>
      <c r="R88" s="5"/>
      <c r="S88" s="5"/>
      <c r="T88" s="7"/>
      <c r="U88" s="7"/>
      <c r="V88" s="5"/>
      <c r="W88" s="5"/>
      <c r="X88" s="5" t="s">
        <v>37</v>
      </c>
      <c r="Y88" s="8" t="str">
        <f aca="false">IF($C88&lt;&gt;"",TRIM($C88&amp;", "&amp;$D88&amp;", "&amp;$E88&amp;" "&amp;$F88),IF($R88&lt;&gt;"",$R88,IF($D88&lt;&gt;"",$D88&amp;", "&amp;$E88,$I88)))</f>
        <v>6900 PEACHTREE INDUSTRIAL BLVD STE E-G, Dunwoody, GA 30360</v>
      </c>
    </row>
    <row r="89" customFormat="false" ht="15" hidden="false" customHeight="true" outlineLevel="0" collapsed="false">
      <c r="A89" s="5" t="s">
        <v>480</v>
      </c>
      <c r="B89" s="5" t="s">
        <v>481</v>
      </c>
      <c r="C89" s="5" t="s">
        <v>482</v>
      </c>
      <c r="D89" s="5" t="s">
        <v>483</v>
      </c>
      <c r="E89" s="5" t="s">
        <v>484</v>
      </c>
      <c r="F89" s="5" t="s">
        <v>485</v>
      </c>
      <c r="G89" s="5" t="s">
        <v>31</v>
      </c>
      <c r="H89" s="5" t="s">
        <v>486</v>
      </c>
      <c r="I89" s="5" t="s">
        <v>487</v>
      </c>
      <c r="J89" s="6" t="n">
        <v>3</v>
      </c>
      <c r="K89" s="5" t="s">
        <v>34</v>
      </c>
      <c r="L89" s="5" t="n">
        <f aca="false">IF($K89="",0,LEN($K89)-LEN(SUBSTITUTE($K89,",",""))+1)</f>
        <v>3</v>
      </c>
      <c r="M89" s="5" t="s">
        <v>35</v>
      </c>
      <c r="N89" s="5" t="str">
        <f aca="false">TRIM($A89&amp;" "&amp;IF($C89="",$R89,$C89&amp;" "&amp;$D89&amp;" "&amp;$E89&amp;" "&amp;$F89))</f>
        <v>Davis Liquor Outlet 1406 N Waco Ave Wichita KS 67203</v>
      </c>
      <c r="O89" s="5" t="str">
        <f aca="false">IF($P89&lt;&gt;"","Exclude",IF(AND($M89&lt;&gt;"Full address",$R89=""),"Needs address",IF($J89&lt;0.5,"Hold - low volume",IF(LEFT($W89,3)="Low","Verify address",IF($G89="Needs review","Needs premise review",IF($X89="Estimated","Ready - address estimated","Ready"))))))</f>
        <v>Ready</v>
      </c>
      <c r="P89" s="5"/>
      <c r="Q89" s="5" t="s">
        <v>488</v>
      </c>
      <c r="R89" s="5"/>
      <c r="S89" s="5"/>
      <c r="T89" s="7"/>
      <c r="U89" s="7"/>
      <c r="V89" s="5"/>
      <c r="W89" s="5"/>
      <c r="X89" s="5" t="s">
        <v>37</v>
      </c>
      <c r="Y89" s="8" t="str">
        <f aca="false">IF($C89&lt;&gt;"",TRIM($C89&amp;", "&amp;$D89&amp;", "&amp;$E89&amp;" "&amp;$F89),IF($R89&lt;&gt;"",$R89,IF($D89&lt;&gt;"",$D89&amp;", "&amp;$E89,$I89)))</f>
        <v>1406 N Waco Ave, Wichita, KS 67203</v>
      </c>
    </row>
    <row r="90" customFormat="false" ht="15" hidden="false" customHeight="true" outlineLevel="0" collapsed="false">
      <c r="A90" s="5" t="s">
        <v>489</v>
      </c>
      <c r="B90" s="5" t="s">
        <v>490</v>
      </c>
      <c r="C90" s="5" t="s">
        <v>491</v>
      </c>
      <c r="D90" s="5" t="s">
        <v>492</v>
      </c>
      <c r="E90" s="5" t="s">
        <v>493</v>
      </c>
      <c r="F90" s="5" t="s">
        <v>494</v>
      </c>
      <c r="G90" s="5" t="s">
        <v>144</v>
      </c>
      <c r="H90" s="5" t="s">
        <v>495</v>
      </c>
      <c r="I90" s="5" t="s">
        <v>496</v>
      </c>
      <c r="J90" s="6" t="n">
        <v>3</v>
      </c>
      <c r="K90" s="5" t="s">
        <v>497</v>
      </c>
      <c r="L90" s="5" t="n">
        <f aca="false">IF($K90="",0,LEN($K90)-LEN(SUBSTITUTE($K90,",",""))+1)</f>
        <v>4</v>
      </c>
      <c r="M90" s="5" t="s">
        <v>35</v>
      </c>
      <c r="N90" s="5" t="str">
        <f aca="false">TRIM($A90&amp;" "&amp;IF($C90="",$R90,$C90&amp;" "&amp;$D90&amp;" "&amp;$E90&amp;" "&amp;$F90))</f>
        <v>The Brothers Beer &amp; Bourbon House 3880 S Lindbergh Blvd St. Louis MO 63127</v>
      </c>
      <c r="O90" s="5" t="str">
        <f aca="false">IF($P90&lt;&gt;"","Exclude",IF(AND($M90&lt;&gt;"Full address",$R90=""),"Needs address",IF($J90&lt;0.5,"Hold - low volume",IF(LEFT($W90,3)="Low","Verify address",IF($G90="Needs review","Needs premise review",IF($X90="Estimated","Ready - address estimated","Ready"))))))</f>
        <v>Needs premise review</v>
      </c>
      <c r="P90" s="5"/>
      <c r="Q90" s="5" t="s">
        <v>498</v>
      </c>
      <c r="R90" s="5"/>
      <c r="S90" s="5"/>
      <c r="T90" s="7"/>
      <c r="U90" s="7"/>
      <c r="V90" s="5"/>
      <c r="W90" s="5"/>
      <c r="X90" s="5" t="s">
        <v>37</v>
      </c>
      <c r="Y90" s="8" t="str">
        <f aca="false">IF($C90&lt;&gt;"",TRIM($C90&amp;", "&amp;$D90&amp;", "&amp;$E90&amp;" "&amp;$F90),IF($R90&lt;&gt;"",$R90,IF($D90&lt;&gt;"",$D90&amp;", "&amp;$E90,$I90)))</f>
        <v>3880 S Lindbergh Blvd, St. Louis, MO 63127</v>
      </c>
    </row>
    <row r="91" customFormat="false" ht="15" hidden="false" customHeight="true" outlineLevel="0" collapsed="false">
      <c r="A91" s="5" t="s">
        <v>499</v>
      </c>
      <c r="B91" s="5" t="s">
        <v>499</v>
      </c>
      <c r="C91" s="5"/>
      <c r="D91" s="5" t="s">
        <v>500</v>
      </c>
      <c r="E91" s="5" t="s">
        <v>147</v>
      </c>
      <c r="F91" s="5"/>
      <c r="G91" s="5" t="s">
        <v>31</v>
      </c>
      <c r="H91" s="5" t="s">
        <v>148</v>
      </c>
      <c r="I91" s="5" t="s">
        <v>149</v>
      </c>
      <c r="J91" s="6" t="n">
        <v>3</v>
      </c>
      <c r="K91" s="5" t="s">
        <v>63</v>
      </c>
      <c r="L91" s="5" t="n">
        <f aca="false">IF($K91="",0,LEN($K91)-LEN(SUBSTITUTE($K91,",",""))+1)</f>
        <v>2</v>
      </c>
      <c r="M91" s="5" t="s">
        <v>44</v>
      </c>
      <c r="N91" s="5" t="str">
        <f aca="false">TRIM($A91&amp;" "&amp;IF($C91="",$R91,$C91&amp;" "&amp;$D91&amp;" "&amp;$E91&amp;" "&amp;$F91))</f>
        <v>AMERICAN LIQUOR Spartanburg 2401 Reidville Rd Ste 4, Spartanburg, SC 29301</v>
      </c>
      <c r="O91" s="5" t="str">
        <f aca="false">IF($P91&lt;&gt;"","Exclude",IF(AND($M91&lt;&gt;"Full address",$R91=""),"Needs address",IF($J91&lt;0.5,"Hold - low volume",IF(LEFT($W91,3)="Low","Verify address",IF($G91="Needs review","Needs premise review",IF($X91="Estimated","Ready - address estimated","Ready"))))))</f>
        <v>Ready - address estimated</v>
      </c>
      <c r="P91" s="5"/>
      <c r="Q91" s="5" t="s">
        <v>150</v>
      </c>
      <c r="R91" s="5" t="s">
        <v>501</v>
      </c>
      <c r="S91" s="5" t="s">
        <v>502</v>
      </c>
      <c r="T91" s="7" t="n">
        <v>34.9187951</v>
      </c>
      <c r="U91" s="7" t="n">
        <v>-81.9937884</v>
      </c>
      <c r="V91" s="5" t="s">
        <v>503</v>
      </c>
      <c r="W91" s="5" t="s">
        <v>154</v>
      </c>
      <c r="X91" s="5" t="s">
        <v>50</v>
      </c>
      <c r="Y91" s="8" t="str">
        <f aca="false">IF($C91&lt;&gt;"",TRIM($C91&amp;", "&amp;$D91&amp;", "&amp;$E91&amp;" "&amp;$F91),IF($R91&lt;&gt;"",$R91,IF($D91&lt;&gt;"",$D91&amp;", "&amp;$E91,$I91)))</f>
        <v>2401 Reidville Rd Ste 4, Spartanburg, SC 29301</v>
      </c>
    </row>
    <row r="92" customFormat="false" ht="15" hidden="false" customHeight="true" outlineLevel="0" collapsed="false">
      <c r="A92" s="5" t="s">
        <v>504</v>
      </c>
      <c r="B92" s="5" t="s">
        <v>504</v>
      </c>
      <c r="C92" s="5"/>
      <c r="D92" s="5" t="s">
        <v>505</v>
      </c>
      <c r="E92" s="5" t="s">
        <v>147</v>
      </c>
      <c r="F92" s="5"/>
      <c r="G92" s="5" t="s">
        <v>31</v>
      </c>
      <c r="H92" s="5" t="s">
        <v>148</v>
      </c>
      <c r="I92" s="5" t="s">
        <v>149</v>
      </c>
      <c r="J92" s="6" t="n">
        <v>3</v>
      </c>
      <c r="K92" s="5" t="s">
        <v>34</v>
      </c>
      <c r="L92" s="5" t="n">
        <f aca="false">IF($K92="",0,LEN($K92)-LEN(SUBSTITUTE($K92,",",""))+1)</f>
        <v>3</v>
      </c>
      <c r="M92" s="5" t="s">
        <v>44</v>
      </c>
      <c r="N92" s="5" t="str">
        <f aca="false">TRIM($A92&amp;" "&amp;IF($C92="",$R92,$C92&amp;" "&amp;$D92&amp;" "&amp;$E92&amp;" "&amp;$F92))</f>
        <v>BISHOPVILLE LIQUOR'S 507 S Main St, Bishopville, SC 29010</v>
      </c>
      <c r="O92" s="5" t="str">
        <f aca="false">IF($P92&lt;&gt;"","Exclude",IF(AND($M92&lt;&gt;"Full address",$R92=""),"Needs address",IF($J92&lt;0.5,"Hold - low volume",IF(LEFT($W92,3)="Low","Verify address",IF($G92="Needs review","Needs premise review",IF($X92="Estimated","Ready - address estimated","Ready"))))))</f>
        <v>Ready - address estimated</v>
      </c>
      <c r="P92" s="5"/>
      <c r="Q92" s="5" t="s">
        <v>150</v>
      </c>
      <c r="R92" s="5" t="s">
        <v>506</v>
      </c>
      <c r="S92" s="5" t="s">
        <v>507</v>
      </c>
      <c r="T92" s="7" t="n">
        <v>34.211424</v>
      </c>
      <c r="U92" s="7" t="n">
        <v>-80.25606</v>
      </c>
      <c r="V92" s="5" t="s">
        <v>508</v>
      </c>
      <c r="W92" s="5" t="s">
        <v>154</v>
      </c>
      <c r="X92" s="5" t="s">
        <v>50</v>
      </c>
      <c r="Y92" s="8" t="str">
        <f aca="false">IF($C92&lt;&gt;"",TRIM($C92&amp;", "&amp;$D92&amp;", "&amp;$E92&amp;" "&amp;$F92),IF($R92&lt;&gt;"",$R92,IF($D92&lt;&gt;"",$D92&amp;", "&amp;$E92,$I92)))</f>
        <v>507 S Main St, Bishopville, SC 29010</v>
      </c>
    </row>
    <row r="93" customFormat="false" ht="15" hidden="false" customHeight="true" outlineLevel="0" collapsed="false">
      <c r="A93" s="5" t="s">
        <v>509</v>
      </c>
      <c r="B93" s="5" t="s">
        <v>509</v>
      </c>
      <c r="C93" s="5"/>
      <c r="D93" s="5" t="s">
        <v>510</v>
      </c>
      <c r="E93" s="5" t="s">
        <v>147</v>
      </c>
      <c r="F93" s="5"/>
      <c r="G93" s="5" t="s">
        <v>31</v>
      </c>
      <c r="H93" s="5" t="s">
        <v>148</v>
      </c>
      <c r="I93" s="5" t="s">
        <v>149</v>
      </c>
      <c r="J93" s="6" t="n">
        <v>3</v>
      </c>
      <c r="K93" s="5" t="s">
        <v>325</v>
      </c>
      <c r="L93" s="5" t="n">
        <f aca="false">IF($K93="",0,LEN($K93)-LEN(SUBSTITUTE($K93,",",""))+1)</f>
        <v>3</v>
      </c>
      <c r="M93" s="5" t="s">
        <v>44</v>
      </c>
      <c r="N93" s="5" t="str">
        <f aca="false">TRIM($A93&amp;" "&amp;IF($C93="",$R93,$C93&amp;" "&amp;$D93&amp;" "&amp;$E93&amp;" "&amp;$F93))</f>
        <v>Buoys Liquor &amp; Wine 860 Parris Island Gateway A, Beaufort, SC 29906</v>
      </c>
      <c r="O93" s="5" t="str">
        <f aca="false">IF($P93&lt;&gt;"","Exclude",IF(AND($M93&lt;&gt;"Full address",$R93=""),"Needs address",IF($J93&lt;0.5,"Hold - low volume",IF(LEFT($W93,3)="Low","Verify address",IF($G93="Needs review","Needs premise review",IF($X93="Estimated","Ready - address estimated","Ready"))))))</f>
        <v>Ready - address estimated</v>
      </c>
      <c r="P93" s="5"/>
      <c r="Q93" s="5" t="s">
        <v>150</v>
      </c>
      <c r="R93" s="5" t="s">
        <v>511</v>
      </c>
      <c r="S93" s="5" t="s">
        <v>512</v>
      </c>
      <c r="T93" s="7" t="n">
        <v>32.3774343</v>
      </c>
      <c r="U93" s="7" t="n">
        <v>-80.7256907</v>
      </c>
      <c r="V93" s="5" t="s">
        <v>513</v>
      </c>
      <c r="W93" s="5" t="s">
        <v>154</v>
      </c>
      <c r="X93" s="5" t="s">
        <v>50</v>
      </c>
      <c r="Y93" s="8" t="str">
        <f aca="false">IF($C93&lt;&gt;"",TRIM($C93&amp;", "&amp;$D93&amp;", "&amp;$E93&amp;" "&amp;$F93),IF($R93&lt;&gt;"",$R93,IF($D93&lt;&gt;"",$D93&amp;", "&amp;$E93,$I93)))</f>
        <v>860 Parris Island Gateway A, Beaufort, SC 29906</v>
      </c>
    </row>
    <row r="94" customFormat="false" ht="15" hidden="false" customHeight="true" outlineLevel="0" collapsed="false">
      <c r="A94" s="5" t="s">
        <v>514</v>
      </c>
      <c r="B94" s="5" t="s">
        <v>514</v>
      </c>
      <c r="C94" s="5"/>
      <c r="D94" s="5" t="s">
        <v>515</v>
      </c>
      <c r="E94" s="5" t="s">
        <v>147</v>
      </c>
      <c r="F94" s="5"/>
      <c r="G94" s="5" t="s">
        <v>31</v>
      </c>
      <c r="H94" s="5" t="s">
        <v>148</v>
      </c>
      <c r="I94" s="5" t="s">
        <v>149</v>
      </c>
      <c r="J94" s="6" t="n">
        <v>3</v>
      </c>
      <c r="K94" s="5" t="s">
        <v>63</v>
      </c>
      <c r="L94" s="5" t="n">
        <f aca="false">IF($K94="",0,LEN($K94)-LEN(SUBSTITUTE($K94,",",""))+1)</f>
        <v>2</v>
      </c>
      <c r="M94" s="5" t="s">
        <v>44</v>
      </c>
      <c r="N94" s="5" t="str">
        <f aca="false">TRIM($A94&amp;" "&amp;IF($C94="",$R94,$C94&amp;" "&amp;$D94&amp;" "&amp;$E94&amp;" "&amp;$F94))</f>
        <v>Carolina Spirits #2 8350 Dorchester Rd D, North Charleston, SC 29418</v>
      </c>
      <c r="O94" s="5" t="str">
        <f aca="false">IF($P94&lt;&gt;"","Exclude",IF(AND($M94&lt;&gt;"Full address",$R94=""),"Needs address",IF($J94&lt;0.5,"Hold - low volume",IF(LEFT($W94,3)="Low","Verify address",IF($G94="Needs review","Needs premise review",IF($X94="Estimated","Ready - address estimated","Ready"))))))</f>
        <v>Verify address</v>
      </c>
      <c r="P94" s="5"/>
      <c r="Q94" s="5" t="s">
        <v>150</v>
      </c>
      <c r="R94" s="5" t="s">
        <v>516</v>
      </c>
      <c r="S94" s="5" t="s">
        <v>517</v>
      </c>
      <c r="T94" s="7" t="n">
        <v>32.9139943</v>
      </c>
      <c r="U94" s="7" t="n">
        <v>-80.1059432</v>
      </c>
      <c r="V94" s="5" t="s">
        <v>518</v>
      </c>
      <c r="W94" s="5" t="s">
        <v>519</v>
      </c>
      <c r="X94" s="5" t="s">
        <v>50</v>
      </c>
      <c r="Y94" s="8" t="str">
        <f aca="false">IF($C94&lt;&gt;"",TRIM($C94&amp;", "&amp;$D94&amp;", "&amp;$E94&amp;" "&amp;$F94),IF($R94&lt;&gt;"",$R94,IF($D94&lt;&gt;"",$D94&amp;", "&amp;$E94,$I94)))</f>
        <v>8350 Dorchester Rd D, North Charleston, SC 29418</v>
      </c>
    </row>
    <row r="95" customFormat="false" ht="15" hidden="false" customHeight="true" outlineLevel="0" collapsed="false">
      <c r="A95" s="5" t="s">
        <v>520</v>
      </c>
      <c r="B95" s="5" t="s">
        <v>520</v>
      </c>
      <c r="C95" s="5"/>
      <c r="D95" s="5" t="s">
        <v>146</v>
      </c>
      <c r="E95" s="5" t="s">
        <v>147</v>
      </c>
      <c r="F95" s="5"/>
      <c r="G95" s="5" t="s">
        <v>31</v>
      </c>
      <c r="H95" s="5" t="s">
        <v>148</v>
      </c>
      <c r="I95" s="5" t="s">
        <v>149</v>
      </c>
      <c r="J95" s="6" t="n">
        <v>3</v>
      </c>
      <c r="K95" s="5" t="s">
        <v>325</v>
      </c>
      <c r="L95" s="5" t="n">
        <f aca="false">IF($K95="",0,LEN($K95)-LEN(SUBSTITUTE($K95,",",""))+1)</f>
        <v>3</v>
      </c>
      <c r="M95" s="5" t="s">
        <v>44</v>
      </c>
      <c r="N95" s="5" t="str">
        <f aca="false">TRIM($A95&amp;" "&amp;IF($C95="",$R95,$C95&amp;" "&amp;$D95&amp;" "&amp;$E95&amp;" "&amp;$F95))</f>
        <v>Corner Package Store 1325 McIlwain Rd, Lancaster, SC 29720</v>
      </c>
      <c r="O95" s="5" t="str">
        <f aca="false">IF($P95&lt;&gt;"","Exclude",IF(AND($M95&lt;&gt;"Full address",$R95=""),"Needs address",IF($J95&lt;0.5,"Hold - low volume",IF(LEFT($W95,3)="Low","Verify address",IF($G95="Needs review","Needs premise review",IF($X95="Estimated","Ready - address estimated","Ready"))))))</f>
        <v>Ready - address estimated</v>
      </c>
      <c r="P95" s="5"/>
      <c r="Q95" s="5" t="s">
        <v>150</v>
      </c>
      <c r="R95" s="5" t="s">
        <v>521</v>
      </c>
      <c r="S95" s="5" t="s">
        <v>520</v>
      </c>
      <c r="T95" s="7" t="n">
        <v>34.674142</v>
      </c>
      <c r="U95" s="7" t="n">
        <v>-80.7576481</v>
      </c>
      <c r="V95" s="5" t="s">
        <v>522</v>
      </c>
      <c r="W95" s="5" t="s">
        <v>154</v>
      </c>
      <c r="X95" s="5" t="s">
        <v>50</v>
      </c>
      <c r="Y95" s="8" t="str">
        <f aca="false">IF($C95&lt;&gt;"",TRIM($C95&amp;", "&amp;$D95&amp;", "&amp;$E95&amp;" "&amp;$F95),IF($R95&lt;&gt;"",$R95,IF($D95&lt;&gt;"",$D95&amp;", "&amp;$E95,$I95)))</f>
        <v>1325 McIlwain Rd, Lancaster, SC 29720</v>
      </c>
    </row>
    <row r="96" customFormat="false" ht="15" hidden="false" customHeight="true" outlineLevel="0" collapsed="false">
      <c r="A96" s="5" t="s">
        <v>523</v>
      </c>
      <c r="B96" s="5" t="s">
        <v>523</v>
      </c>
      <c r="C96" s="5"/>
      <c r="D96" s="5" t="s">
        <v>146</v>
      </c>
      <c r="E96" s="5" t="s">
        <v>147</v>
      </c>
      <c r="F96" s="5"/>
      <c r="G96" s="5" t="s">
        <v>31</v>
      </c>
      <c r="H96" s="5" t="s">
        <v>148</v>
      </c>
      <c r="I96" s="5" t="s">
        <v>149</v>
      </c>
      <c r="J96" s="6" t="n">
        <v>3</v>
      </c>
      <c r="K96" s="5" t="s">
        <v>63</v>
      </c>
      <c r="L96" s="5" t="n">
        <f aca="false">IF($K96="",0,LEN($K96)-LEN(SUBSTITUTE($K96,",",""))+1)</f>
        <v>2</v>
      </c>
      <c r="M96" s="5" t="s">
        <v>44</v>
      </c>
      <c r="N96" s="5" t="str">
        <f aca="false">TRIM($A96&amp;" "&amp;IF($C96="",$R96,$C96&amp;" "&amp;$D96&amp;" "&amp;$E96&amp;" "&amp;$F96))</f>
        <v>Hwy 9 ABC (Lancaster) 1129 Hwy 9 Bypass W Ste B, Lancaster, SC 29720</v>
      </c>
      <c r="O96" s="5" t="str">
        <f aca="false">IF($P96&lt;&gt;"","Exclude",IF(AND($M96&lt;&gt;"Full address",$R96=""),"Needs address",IF($J96&lt;0.5,"Hold - low volume",IF(LEFT($W96,3)="Low","Verify address",IF($G96="Needs review","Needs premise review",IF($X96="Estimated","Ready - address estimated","Ready"))))))</f>
        <v>Ready - address estimated</v>
      </c>
      <c r="P96" s="5"/>
      <c r="Q96" s="5" t="s">
        <v>150</v>
      </c>
      <c r="R96" s="5" t="s">
        <v>524</v>
      </c>
      <c r="S96" s="5" t="s">
        <v>525</v>
      </c>
      <c r="T96" s="7" t="n">
        <v>34.7329884</v>
      </c>
      <c r="U96" s="7" t="n">
        <v>-80.7969681</v>
      </c>
      <c r="V96" s="5" t="s">
        <v>526</v>
      </c>
      <c r="W96" s="5" t="s">
        <v>154</v>
      </c>
      <c r="X96" s="5" t="s">
        <v>50</v>
      </c>
      <c r="Y96" s="8" t="str">
        <f aca="false">IF($C96&lt;&gt;"",TRIM($C96&amp;", "&amp;$D96&amp;", "&amp;$E96&amp;" "&amp;$F96),IF($R96&lt;&gt;"",$R96,IF($D96&lt;&gt;"",$D96&amp;", "&amp;$E96,$I96)))</f>
        <v>1129 Hwy 9 Bypass W Ste B, Lancaster, SC 29720</v>
      </c>
    </row>
    <row r="97" customFormat="false" ht="15" hidden="false" customHeight="true" outlineLevel="0" collapsed="false">
      <c r="A97" s="5" t="s">
        <v>527</v>
      </c>
      <c r="B97" s="5" t="s">
        <v>527</v>
      </c>
      <c r="C97" s="5"/>
      <c r="D97" s="5" t="s">
        <v>500</v>
      </c>
      <c r="E97" s="5" t="s">
        <v>147</v>
      </c>
      <c r="F97" s="5"/>
      <c r="G97" s="5" t="s">
        <v>31</v>
      </c>
      <c r="H97" s="5" t="s">
        <v>148</v>
      </c>
      <c r="I97" s="5" t="s">
        <v>149</v>
      </c>
      <c r="J97" s="6" t="n">
        <v>3</v>
      </c>
      <c r="K97" s="5" t="s">
        <v>325</v>
      </c>
      <c r="L97" s="5" t="n">
        <f aca="false">IF($K97="",0,LEN($K97)-LEN(SUBSTITUTE($K97,",",""))+1)</f>
        <v>3</v>
      </c>
      <c r="M97" s="5" t="s">
        <v>44</v>
      </c>
      <c r="N97" s="5" t="str">
        <f aca="false">TRIM($A97&amp;" "&amp;IF($C97="",$R97,$C97&amp;" "&amp;$D97&amp;" "&amp;$E97&amp;" "&amp;$F97))</f>
        <v>JD LIQUOR (N Church) 1001 N Church St, Spartanburg, SC 29303</v>
      </c>
      <c r="O97" s="5" t="str">
        <f aca="false">IF($P97&lt;&gt;"","Exclude",IF(AND($M97&lt;&gt;"Full address",$R97=""),"Needs address",IF($J97&lt;0.5,"Hold - low volume",IF(LEFT($W97,3)="Low","Verify address",IF($G97="Needs review","Needs premise review",IF($X97="Estimated","Ready - address estimated","Ready"))))))</f>
        <v>Ready - address estimated</v>
      </c>
      <c r="P97" s="5"/>
      <c r="Q97" s="5" t="s">
        <v>150</v>
      </c>
      <c r="R97" s="5" t="s">
        <v>528</v>
      </c>
      <c r="S97" s="5" t="s">
        <v>529</v>
      </c>
      <c r="T97" s="7" t="n">
        <v>34.9714223</v>
      </c>
      <c r="U97" s="7" t="n">
        <v>-81.9414192</v>
      </c>
      <c r="V97" s="5" t="s">
        <v>530</v>
      </c>
      <c r="W97" s="5" t="s">
        <v>531</v>
      </c>
      <c r="X97" s="5" t="s">
        <v>50</v>
      </c>
      <c r="Y97" s="8" t="str">
        <f aca="false">IF($C97&lt;&gt;"",TRIM($C97&amp;", "&amp;$D97&amp;", "&amp;$E97&amp;" "&amp;$F97),IF($R97&lt;&gt;"",$R97,IF($D97&lt;&gt;"",$D97&amp;", "&amp;$E97,$I97)))</f>
        <v>1001 N Church St, Spartanburg, SC 29303</v>
      </c>
    </row>
    <row r="98" customFormat="false" ht="15" hidden="false" customHeight="true" outlineLevel="0" collapsed="false">
      <c r="A98" s="5" t="s">
        <v>532</v>
      </c>
      <c r="B98" s="5" t="s">
        <v>532</v>
      </c>
      <c r="C98" s="5"/>
      <c r="D98" s="5" t="s">
        <v>533</v>
      </c>
      <c r="E98" s="5" t="s">
        <v>147</v>
      </c>
      <c r="F98" s="5"/>
      <c r="G98" s="5" t="s">
        <v>31</v>
      </c>
      <c r="H98" s="5" t="s">
        <v>148</v>
      </c>
      <c r="I98" s="5" t="s">
        <v>149</v>
      </c>
      <c r="J98" s="6" t="n">
        <v>3</v>
      </c>
      <c r="K98" s="5" t="s">
        <v>325</v>
      </c>
      <c r="L98" s="5" t="n">
        <f aca="false">IF($K98="",0,LEN($K98)-LEN(SUBSTITUTE($K98,",",""))+1)</f>
        <v>3</v>
      </c>
      <c r="M98" s="5" t="s">
        <v>44</v>
      </c>
      <c r="N98" s="5" t="str">
        <f aca="false">TRIM($A98&amp;" "&amp;IF($C98="",$R98,$C98&amp;" "&amp;$D98&amp;" "&amp;$E98&amp;" "&amp;$F98))</f>
        <v>LUCKY ABC (SC) 61 S Main St, Inman, SC 29349</v>
      </c>
      <c r="O98" s="5" t="str">
        <f aca="false">IF($P98&lt;&gt;"","Exclude",IF(AND($M98&lt;&gt;"Full address",$R98=""),"Needs address",IF($J98&lt;0.5,"Hold - low volume",IF(LEFT($W98,3)="Low","Verify address",IF($G98="Needs review","Needs premise review",IF($X98="Estimated","Ready - address estimated","Ready"))))))</f>
        <v>Ready - address estimated</v>
      </c>
      <c r="P98" s="5"/>
      <c r="Q98" s="5" t="s">
        <v>150</v>
      </c>
      <c r="R98" s="5" t="s">
        <v>534</v>
      </c>
      <c r="S98" s="5" t="s">
        <v>535</v>
      </c>
      <c r="T98" s="7" t="n">
        <v>35.0435756</v>
      </c>
      <c r="U98" s="7" t="n">
        <v>-82.0889078</v>
      </c>
      <c r="V98" s="5" t="s">
        <v>536</v>
      </c>
      <c r="W98" s="5" t="s">
        <v>154</v>
      </c>
      <c r="X98" s="5" t="s">
        <v>50</v>
      </c>
      <c r="Y98" s="8" t="str">
        <f aca="false">IF($C98&lt;&gt;"",TRIM($C98&amp;", "&amp;$D98&amp;", "&amp;$E98&amp;" "&amp;$F98),IF($R98&lt;&gt;"",$R98,IF($D98&lt;&gt;"",$D98&amp;", "&amp;$E98,$I98)))</f>
        <v>61 S Main St, Inman, SC 29349</v>
      </c>
    </row>
    <row r="99" customFormat="false" ht="15" hidden="false" customHeight="true" outlineLevel="0" collapsed="false">
      <c r="A99" s="5" t="s">
        <v>537</v>
      </c>
      <c r="B99" s="5" t="s">
        <v>537</v>
      </c>
      <c r="C99" s="5"/>
      <c r="D99" s="5" t="s">
        <v>538</v>
      </c>
      <c r="E99" s="5" t="s">
        <v>147</v>
      </c>
      <c r="F99" s="5"/>
      <c r="G99" s="5" t="s">
        <v>31</v>
      </c>
      <c r="H99" s="5" t="s">
        <v>148</v>
      </c>
      <c r="I99" s="5" t="s">
        <v>149</v>
      </c>
      <c r="J99" s="6" t="n">
        <v>3</v>
      </c>
      <c r="K99" s="5" t="s">
        <v>325</v>
      </c>
      <c r="L99" s="5" t="n">
        <f aca="false">IF($K99="",0,LEN($K99)-LEN(SUBSTITUTE($K99,",",""))+1)</f>
        <v>3</v>
      </c>
      <c r="M99" s="5" t="s">
        <v>44</v>
      </c>
      <c r="N99" s="5" t="str">
        <f aca="false">TRIM($A99&amp;" "&amp;IF($C99="",$R99,$C99&amp;" "&amp;$D99&amp;" "&amp;$E99&amp;" "&amp;$F99))</f>
        <v>MO LIQUOR(SC) 2551 Jefferson Davis Hwy, Warrenville, SC 29851</v>
      </c>
      <c r="O99" s="5" t="str">
        <f aca="false">IF($P99&lt;&gt;"","Exclude",IF(AND($M99&lt;&gt;"Full address",$R99=""),"Needs address",IF($J99&lt;0.5,"Hold - low volume",IF(LEFT($W99,3)="Low","Verify address",IF($G99="Needs review","Needs premise review",IF($X99="Estimated","Ready - address estimated","Ready"))))))</f>
        <v>Ready - address estimated</v>
      </c>
      <c r="P99" s="5"/>
      <c r="Q99" s="5" t="s">
        <v>150</v>
      </c>
      <c r="R99" s="5" t="s">
        <v>539</v>
      </c>
      <c r="S99" s="5" t="s">
        <v>540</v>
      </c>
      <c r="T99" s="7" t="n">
        <v>33.5269595</v>
      </c>
      <c r="U99" s="7" t="n">
        <v>-81.8463935</v>
      </c>
      <c r="V99" s="5" t="s">
        <v>541</v>
      </c>
      <c r="W99" s="5" t="s">
        <v>154</v>
      </c>
      <c r="X99" s="5" t="s">
        <v>50</v>
      </c>
      <c r="Y99" s="8" t="str">
        <f aca="false">IF($C99&lt;&gt;"",TRIM($C99&amp;", "&amp;$D99&amp;", "&amp;$E99&amp;" "&amp;$F99),IF($R99&lt;&gt;"",$R99,IF($D99&lt;&gt;"",$D99&amp;", "&amp;$E99,$I99)))</f>
        <v>2551 Jefferson Davis Hwy, Warrenville, SC 29851</v>
      </c>
    </row>
    <row r="100" customFormat="false" ht="15" hidden="false" customHeight="true" outlineLevel="0" collapsed="false">
      <c r="A100" s="5" t="s">
        <v>542</v>
      </c>
      <c r="B100" s="5" t="s">
        <v>542</v>
      </c>
      <c r="C100" s="5"/>
      <c r="D100" s="5" t="s">
        <v>543</v>
      </c>
      <c r="E100" s="5" t="s">
        <v>147</v>
      </c>
      <c r="F100" s="5"/>
      <c r="G100" s="5" t="s">
        <v>31</v>
      </c>
      <c r="H100" s="5" t="s">
        <v>148</v>
      </c>
      <c r="I100" s="5" t="s">
        <v>149</v>
      </c>
      <c r="J100" s="6" t="n">
        <v>3</v>
      </c>
      <c r="K100" s="5" t="s">
        <v>325</v>
      </c>
      <c r="L100" s="5" t="n">
        <f aca="false">IF($K100="",0,LEN($K100)-LEN(SUBSTITUTE($K100,",",""))+1)</f>
        <v>3</v>
      </c>
      <c r="M100" s="5" t="s">
        <v>44</v>
      </c>
      <c r="N100" s="5" t="str">
        <f aca="false">TRIM($A100&amp;" "&amp;IF($C100="",$R100,$C100&amp;" "&amp;$D100&amp;" "&amp;$E100&amp;" "&amp;$F100))</f>
        <v>MR Liquor (SC) 12104 Old Number Six Hwy, Eutawville, SC 29048</v>
      </c>
      <c r="O100" s="5" t="str">
        <f aca="false">IF($P100&lt;&gt;"","Exclude",IF(AND($M100&lt;&gt;"Full address",$R100=""),"Needs address",IF($J100&lt;0.5,"Hold - low volume",IF(LEFT($W100,3)="Low","Verify address",IF($G100="Needs review","Needs premise review",IF($X100="Estimated","Ready - address estimated","Ready"))))))</f>
        <v>Ready - address estimated</v>
      </c>
      <c r="P100" s="5"/>
      <c r="Q100" s="5" t="s">
        <v>150</v>
      </c>
      <c r="R100" s="5" t="s">
        <v>544</v>
      </c>
      <c r="S100" s="5" t="s">
        <v>545</v>
      </c>
      <c r="T100" s="7" t="n">
        <v>33.3978078</v>
      </c>
      <c r="U100" s="7" t="n">
        <v>-80.340415</v>
      </c>
      <c r="V100" s="5" t="s">
        <v>546</v>
      </c>
      <c r="W100" s="5" t="s">
        <v>154</v>
      </c>
      <c r="X100" s="5" t="s">
        <v>50</v>
      </c>
      <c r="Y100" s="8" t="str">
        <f aca="false">IF($C100&lt;&gt;"",TRIM($C100&amp;", "&amp;$D100&amp;", "&amp;$E100&amp;" "&amp;$F100),IF($R100&lt;&gt;"",$R100,IF($D100&lt;&gt;"",$D100&amp;", "&amp;$E100,$I100)))</f>
        <v>12104 Old Number Six Hwy, Eutawville, SC 29048</v>
      </c>
    </row>
    <row r="101" customFormat="false" ht="15" hidden="false" customHeight="true" outlineLevel="0" collapsed="false">
      <c r="A101" s="5" t="s">
        <v>547</v>
      </c>
      <c r="B101" s="5" t="s">
        <v>547</v>
      </c>
      <c r="C101" s="5"/>
      <c r="D101" s="5" t="s">
        <v>548</v>
      </c>
      <c r="E101" s="5" t="s">
        <v>147</v>
      </c>
      <c r="F101" s="5"/>
      <c r="G101" s="5" t="s">
        <v>31</v>
      </c>
      <c r="H101" s="5" t="s">
        <v>148</v>
      </c>
      <c r="I101" s="5" t="s">
        <v>149</v>
      </c>
      <c r="J101" s="6" t="n">
        <v>3</v>
      </c>
      <c r="K101" s="5" t="s">
        <v>325</v>
      </c>
      <c r="L101" s="5" t="n">
        <f aca="false">IF($K101="",0,LEN($K101)-LEN(SUBSTITUTE($K101,",",""))+1)</f>
        <v>3</v>
      </c>
      <c r="M101" s="5" t="s">
        <v>44</v>
      </c>
      <c r="N101" s="5" t="str">
        <f aca="false">TRIM($A101&amp;" "&amp;IF($C101="",$R101,$C101&amp;" "&amp;$D101&amp;" "&amp;$E101&amp;" "&amp;$F101))</f>
        <v>Port City Liquors North - LD 405 Red Bank Rd, Goose Creek, SC 29445</v>
      </c>
      <c r="O101" s="5" t="str">
        <f aca="false">IF($P101&lt;&gt;"","Exclude",IF(AND($M101&lt;&gt;"Full address",$R101=""),"Needs address",IF($J101&lt;0.5,"Hold - low volume",IF(LEFT($W101,3)="Low","Verify address",IF($G101="Needs review","Needs premise review",IF($X101="Estimated","Ready - address estimated","Ready"))))))</f>
        <v>Ready - address estimated</v>
      </c>
      <c r="P101" s="5"/>
      <c r="Q101" s="5" t="s">
        <v>150</v>
      </c>
      <c r="R101" s="5" t="s">
        <v>549</v>
      </c>
      <c r="S101" s="5" t="s">
        <v>550</v>
      </c>
      <c r="T101" s="7" t="n">
        <v>32.9839726</v>
      </c>
      <c r="U101" s="7" t="n">
        <v>-80.0317202</v>
      </c>
      <c r="V101" s="5" t="s">
        <v>551</v>
      </c>
      <c r="W101" s="5" t="s">
        <v>154</v>
      </c>
      <c r="X101" s="5" t="s">
        <v>50</v>
      </c>
      <c r="Y101" s="8" t="str">
        <f aca="false">IF($C101&lt;&gt;"",TRIM($C101&amp;", "&amp;$D101&amp;", "&amp;$E101&amp;" "&amp;$F101),IF($R101&lt;&gt;"",$R101,IF($D101&lt;&gt;"",$D101&amp;", "&amp;$E101,$I101)))</f>
        <v>405 Red Bank Rd, Goose Creek, SC 29445</v>
      </c>
    </row>
    <row r="102" customFormat="false" ht="15" hidden="false" customHeight="true" outlineLevel="0" collapsed="false">
      <c r="A102" s="5" t="s">
        <v>552</v>
      </c>
      <c r="B102" s="5" t="s">
        <v>552</v>
      </c>
      <c r="C102" s="5"/>
      <c r="D102" s="5" t="s">
        <v>553</v>
      </c>
      <c r="E102" s="5" t="s">
        <v>147</v>
      </c>
      <c r="F102" s="5"/>
      <c r="G102" s="5" t="s">
        <v>31</v>
      </c>
      <c r="H102" s="5" t="s">
        <v>148</v>
      </c>
      <c r="I102" s="5" t="s">
        <v>149</v>
      </c>
      <c r="J102" s="6" t="n">
        <v>3</v>
      </c>
      <c r="K102" s="5" t="s">
        <v>554</v>
      </c>
      <c r="L102" s="5" t="n">
        <f aca="false">IF($K102="",0,LEN($K102)-LEN(SUBSTITUTE($K102,",",""))+1)</f>
        <v>3</v>
      </c>
      <c r="M102" s="5" t="s">
        <v>44</v>
      </c>
      <c r="N102" s="5" t="str">
        <f aca="false">TRIM($A102&amp;" "&amp;IF($C102="",$R102,$C102&amp;" "&amp;$D102&amp;" "&amp;$E102&amp;" "&amp;$F102))</f>
        <v>SLABTOWN PACKAGE STORE 725 Pickens Dr C, Pendleton, SC 29670</v>
      </c>
      <c r="O102" s="5" t="str">
        <f aca="false">IF($P102&lt;&gt;"","Exclude",IF(AND($M102&lt;&gt;"Full address",$R102=""),"Needs address",IF($J102&lt;0.5,"Hold - low volume",IF(LEFT($W102,3)="Low","Verify address",IF($G102="Needs review","Needs premise review",IF($X102="Estimated","Ready - address estimated","Ready"))))))</f>
        <v>Ready - address estimated</v>
      </c>
      <c r="P102" s="5"/>
      <c r="Q102" s="5" t="s">
        <v>150</v>
      </c>
      <c r="R102" s="5" t="s">
        <v>555</v>
      </c>
      <c r="S102" s="5" t="s">
        <v>556</v>
      </c>
      <c r="T102" s="7" t="n">
        <v>34.7058967</v>
      </c>
      <c r="U102" s="7" t="n">
        <v>-82.6208529</v>
      </c>
      <c r="V102" s="5" t="s">
        <v>557</v>
      </c>
      <c r="W102" s="5" t="s">
        <v>154</v>
      </c>
      <c r="X102" s="5" t="s">
        <v>50</v>
      </c>
      <c r="Y102" s="8" t="str">
        <f aca="false">IF($C102&lt;&gt;"",TRIM($C102&amp;", "&amp;$D102&amp;", "&amp;$E102&amp;" "&amp;$F102),IF($R102&lt;&gt;"",$R102,IF($D102&lt;&gt;"",$D102&amp;", "&amp;$E102,$I102)))</f>
        <v>725 Pickens Dr C, Pendleton, SC 29670</v>
      </c>
    </row>
    <row r="103" customFormat="false" ht="15" hidden="false" customHeight="true" outlineLevel="0" collapsed="false">
      <c r="A103" s="5" t="s">
        <v>558</v>
      </c>
      <c r="B103" s="5" t="s">
        <v>558</v>
      </c>
      <c r="C103" s="5"/>
      <c r="D103" s="5" t="s">
        <v>559</v>
      </c>
      <c r="E103" s="5" t="s">
        <v>147</v>
      </c>
      <c r="F103" s="5"/>
      <c r="G103" s="5" t="s">
        <v>31</v>
      </c>
      <c r="H103" s="5" t="s">
        <v>148</v>
      </c>
      <c r="I103" s="5" t="s">
        <v>149</v>
      </c>
      <c r="J103" s="6" t="n">
        <v>3</v>
      </c>
      <c r="K103" s="5" t="s">
        <v>325</v>
      </c>
      <c r="L103" s="5" t="n">
        <f aca="false">IF($K103="",0,LEN($K103)-LEN(SUBSTITUTE($K103,",",""))+1)</f>
        <v>3</v>
      </c>
      <c r="M103" s="5" t="s">
        <v>44</v>
      </c>
      <c r="N103" s="5" t="str">
        <f aca="false">TRIM($A103&amp;" "&amp;IF($C103="",$R103,$C103&amp;" "&amp;$D103&amp;" "&amp;$E103&amp;" "&amp;$F103))</f>
        <v>Sams Wine And Spirits - LD 5050 Sunset Blvd, Lexington, SC 29072</v>
      </c>
      <c r="O103" s="5" t="str">
        <f aca="false">IF($P103&lt;&gt;"","Exclude",IF(AND($M103&lt;&gt;"Full address",$R103=""),"Needs address",IF($J103&lt;0.5,"Hold - low volume",IF(LEFT($W103,3)="Low","Verify address",IF($G103="Needs review","Needs premise review",IF($X103="Estimated","Ready - address estimated","Ready"))))))</f>
        <v>Ready - address estimated</v>
      </c>
      <c r="P103" s="5"/>
      <c r="Q103" s="5" t="s">
        <v>150</v>
      </c>
      <c r="R103" s="5" t="s">
        <v>560</v>
      </c>
      <c r="S103" s="5" t="s">
        <v>561</v>
      </c>
      <c r="T103" s="7" t="n">
        <v>34.009664</v>
      </c>
      <c r="U103" s="7" t="n">
        <v>-81.192266</v>
      </c>
      <c r="V103" s="5" t="s">
        <v>562</v>
      </c>
      <c r="W103" s="5" t="s">
        <v>154</v>
      </c>
      <c r="X103" s="5" t="s">
        <v>50</v>
      </c>
      <c r="Y103" s="8" t="str">
        <f aca="false">IF($C103&lt;&gt;"",TRIM($C103&amp;", "&amp;$D103&amp;", "&amp;$E103&amp;" "&amp;$F103),IF($R103&lt;&gt;"",$R103,IF($D103&lt;&gt;"",$D103&amp;", "&amp;$E103,$I103)))</f>
        <v>5050 Sunset Blvd, Lexington, SC 29072</v>
      </c>
    </row>
    <row r="104" customFormat="false" ht="15" hidden="false" customHeight="true" outlineLevel="0" collapsed="false">
      <c r="A104" s="5" t="s">
        <v>563</v>
      </c>
      <c r="B104" s="5" t="s">
        <v>563</v>
      </c>
      <c r="C104" s="5" t="s">
        <v>564</v>
      </c>
      <c r="D104" s="5" t="s">
        <v>565</v>
      </c>
      <c r="E104" s="5" t="s">
        <v>375</v>
      </c>
      <c r="F104" s="5" t="s">
        <v>566</v>
      </c>
      <c r="G104" s="5" t="s">
        <v>31</v>
      </c>
      <c r="H104" s="5" t="s">
        <v>378</v>
      </c>
      <c r="I104" s="5" t="s">
        <v>379</v>
      </c>
      <c r="J104" s="6" t="n">
        <v>3</v>
      </c>
      <c r="K104" s="5" t="s">
        <v>63</v>
      </c>
      <c r="L104" s="5" t="n">
        <f aca="false">IF($K104="",0,LEN($K104)-LEN(SUBSTITUTE($K104,",",""))+1)</f>
        <v>2</v>
      </c>
      <c r="M104" s="5" t="s">
        <v>35</v>
      </c>
      <c r="N104" s="5" t="str">
        <f aca="false">TRIM($A104&amp;" "&amp;IF($C104="",$R104,$C104&amp;" "&amp;$D104&amp;" "&amp;$E104&amp;" "&amp;$F104))</f>
        <v>Doe River Wine &amp; Spirits 630 Broad Street Elizabethton TN 37643</v>
      </c>
      <c r="O104" s="5" t="str">
        <f aca="false">IF($P104&lt;&gt;"","Exclude",IF(AND($M104&lt;&gt;"Full address",$R104=""),"Needs address",IF($J104&lt;0.5,"Hold - low volume",IF(LEFT($W104,3)="Low","Verify address",IF($G104="Needs review","Needs premise review",IF($X104="Estimated","Ready - address estimated","Ready"))))))</f>
        <v>Ready</v>
      </c>
      <c r="P104" s="5"/>
      <c r="Q104" s="5" t="s">
        <v>380</v>
      </c>
      <c r="R104" s="5"/>
      <c r="S104" s="5"/>
      <c r="T104" s="7"/>
      <c r="U104" s="7"/>
      <c r="V104" s="5"/>
      <c r="W104" s="5"/>
      <c r="X104" s="5" t="s">
        <v>37</v>
      </c>
      <c r="Y104" s="8" t="str">
        <f aca="false">IF($C104&lt;&gt;"",TRIM($C104&amp;", "&amp;$D104&amp;", "&amp;$E104&amp;" "&amp;$F104),IF($R104&lt;&gt;"",$R104,IF($D104&lt;&gt;"",$D104&amp;", "&amp;$E104,$I104)))</f>
        <v>630 Broad Street, Elizabethton, TN 37643</v>
      </c>
    </row>
    <row r="105" customFormat="false" ht="15" hidden="false" customHeight="true" outlineLevel="0" collapsed="false">
      <c r="A105" s="5" t="s">
        <v>567</v>
      </c>
      <c r="B105" s="5" t="s">
        <v>567</v>
      </c>
      <c r="C105" s="5"/>
      <c r="D105" s="5" t="s">
        <v>568</v>
      </c>
      <c r="E105" s="5" t="s">
        <v>40</v>
      </c>
      <c r="F105" s="5"/>
      <c r="G105" s="5" t="s">
        <v>31</v>
      </c>
      <c r="H105" s="5" t="s">
        <v>157</v>
      </c>
      <c r="I105" s="5" t="s">
        <v>42</v>
      </c>
      <c r="J105" s="6" t="n">
        <v>3</v>
      </c>
      <c r="K105" s="5" t="s">
        <v>34</v>
      </c>
      <c r="L105" s="5" t="n">
        <f aca="false">IF($K105="",0,LEN($K105)-LEN(SUBSTITUTE($K105,",",""))+1)</f>
        <v>3</v>
      </c>
      <c r="M105" s="5" t="s">
        <v>44</v>
      </c>
      <c r="N105" s="5" t="str">
        <f aca="false">TRIM($A105&amp;" "&amp;IF($C105="",$R105,$C105&amp;" "&amp;$D105&amp;" "&amp;$E105&amp;" "&amp;$F105))</f>
        <v>Belton Town Liquor 608 E Central Ave Unit A, Belton, TX 76513</v>
      </c>
      <c r="O105" s="5" t="str">
        <f aca="false">IF($P105&lt;&gt;"","Exclude",IF(AND($M105&lt;&gt;"Full address",$R105=""),"Needs address",IF($J105&lt;0.5,"Hold - low volume",IF(LEFT($W105,3)="Low","Verify address",IF($G105="Needs review","Needs premise review",IF($X105="Estimated","Ready - address estimated","Ready"))))))</f>
        <v>Ready - address estimated</v>
      </c>
      <c r="P105" s="5"/>
      <c r="Q105" s="5" t="s">
        <v>45</v>
      </c>
      <c r="R105" s="5" t="s">
        <v>569</v>
      </c>
      <c r="S105" s="5" t="s">
        <v>570</v>
      </c>
      <c r="T105" s="7" t="n">
        <v>31.0550265</v>
      </c>
      <c r="U105" s="7" t="n">
        <v>-97.4577014</v>
      </c>
      <c r="V105" s="5" t="s">
        <v>571</v>
      </c>
      <c r="W105" s="5" t="s">
        <v>154</v>
      </c>
      <c r="X105" s="5" t="s">
        <v>50</v>
      </c>
      <c r="Y105" s="8" t="str">
        <f aca="false">IF($C105&lt;&gt;"",TRIM($C105&amp;", "&amp;$D105&amp;", "&amp;$E105&amp;" "&amp;$F105),IF($R105&lt;&gt;"",$R105,IF($D105&lt;&gt;"",$D105&amp;", "&amp;$E105,$I105)))</f>
        <v>608 E Central Ave Unit A, Belton, TX 76513</v>
      </c>
    </row>
    <row r="106" customFormat="false" ht="15" hidden="false" customHeight="true" outlineLevel="0" collapsed="false">
      <c r="A106" s="5" t="s">
        <v>572</v>
      </c>
      <c r="B106" s="5" t="s">
        <v>572</v>
      </c>
      <c r="C106" s="5"/>
      <c r="D106" s="5" t="s">
        <v>573</v>
      </c>
      <c r="E106" s="5" t="s">
        <v>40</v>
      </c>
      <c r="F106" s="5"/>
      <c r="G106" s="5" t="s">
        <v>31</v>
      </c>
      <c r="H106" s="5" t="s">
        <v>157</v>
      </c>
      <c r="I106" s="5" t="s">
        <v>42</v>
      </c>
      <c r="J106" s="6" t="n">
        <v>3</v>
      </c>
      <c r="K106" s="5" t="s">
        <v>34</v>
      </c>
      <c r="L106" s="5" t="n">
        <f aca="false">IF($K106="",0,LEN($K106)-LEN(SUBSTITUTE($K106,",",""))+1)</f>
        <v>3</v>
      </c>
      <c r="M106" s="5" t="s">
        <v>44</v>
      </c>
      <c r="N106" s="5" t="str">
        <f aca="false">TRIM($A106&amp;" "&amp;IF($C106="",$R106,$C106&amp;" "&amp;$D106&amp;" "&amp;$E106&amp;" "&amp;$F106))</f>
        <v>Big Bottle Liquor Store #1 11041 Shadow Creek Pkwy Ste 102, Pearland, TX 77584</v>
      </c>
      <c r="O106" s="5" t="str">
        <f aca="false">IF($P106&lt;&gt;"","Exclude",IF(AND($M106&lt;&gt;"Full address",$R106=""),"Needs address",IF($J106&lt;0.5,"Hold - low volume",IF(LEFT($W106,3)="Low","Verify address",IF($G106="Needs review","Needs premise review",IF($X106="Estimated","Ready - address estimated","Ready"))))))</f>
        <v>Ready - address estimated</v>
      </c>
      <c r="P106" s="5"/>
      <c r="Q106" s="5" t="s">
        <v>45</v>
      </c>
      <c r="R106" s="5" t="s">
        <v>574</v>
      </c>
      <c r="S106" s="5" t="s">
        <v>575</v>
      </c>
      <c r="T106" s="7" t="n">
        <v>29.582062</v>
      </c>
      <c r="U106" s="7" t="n">
        <v>-95.3907701</v>
      </c>
      <c r="V106" s="5" t="s">
        <v>576</v>
      </c>
      <c r="W106" s="5" t="s">
        <v>154</v>
      </c>
      <c r="X106" s="5" t="s">
        <v>50</v>
      </c>
      <c r="Y106" s="8" t="str">
        <f aca="false">IF($C106&lt;&gt;"",TRIM($C106&amp;", "&amp;$D106&amp;", "&amp;$E106&amp;" "&amp;$F106),IF($R106&lt;&gt;"",$R106,IF($D106&lt;&gt;"",$D106&amp;", "&amp;$E106,$I106)))</f>
        <v>11041 Shadow Creek Pkwy Ste 102, Pearland, TX 77584</v>
      </c>
    </row>
    <row r="107" customFormat="false" ht="15" hidden="false" customHeight="true" outlineLevel="0" collapsed="false">
      <c r="A107" s="5" t="s">
        <v>577</v>
      </c>
      <c r="B107" s="5" t="s">
        <v>577</v>
      </c>
      <c r="C107" s="5"/>
      <c r="D107" s="5" t="s">
        <v>578</v>
      </c>
      <c r="E107" s="5" t="s">
        <v>40</v>
      </c>
      <c r="F107" s="5"/>
      <c r="G107" s="5" t="s">
        <v>31</v>
      </c>
      <c r="H107" s="5" t="s">
        <v>157</v>
      </c>
      <c r="I107" s="5" t="s">
        <v>42</v>
      </c>
      <c r="J107" s="6" t="n">
        <v>3</v>
      </c>
      <c r="K107" s="5" t="s">
        <v>34</v>
      </c>
      <c r="L107" s="5" t="n">
        <f aca="false">IF($K107="",0,LEN($K107)-LEN(SUBSTITUTE($K107,",",""))+1)</f>
        <v>3</v>
      </c>
      <c r="M107" s="5" t="s">
        <v>44</v>
      </c>
      <c r="N107" s="5" t="str">
        <f aca="false">TRIM($A107&amp;" "&amp;IF($C107="",$R107,$C107&amp;" "&amp;$D107&amp;" "&amp;$E107&amp;" "&amp;$F107))</f>
        <v>Dot's Liquor 12207 Hwy 6 Ste B, Fresno, TX 77545</v>
      </c>
      <c r="O107" s="5" t="str">
        <f aca="false">IF($P107&lt;&gt;"","Exclude",IF(AND($M107&lt;&gt;"Full address",$R107=""),"Needs address",IF($J107&lt;0.5,"Hold - low volume",IF(LEFT($W107,3)="Low","Verify address",IF($G107="Needs review","Needs premise review",IF($X107="Estimated","Ready - address estimated","Ready"))))))</f>
        <v>Ready - address estimated</v>
      </c>
      <c r="P107" s="5"/>
      <c r="Q107" s="5" t="s">
        <v>45</v>
      </c>
      <c r="R107" s="5" t="s">
        <v>579</v>
      </c>
      <c r="S107" s="5" t="s">
        <v>577</v>
      </c>
      <c r="T107" s="7" t="n">
        <v>29.5186693</v>
      </c>
      <c r="U107" s="7" t="n">
        <v>-95.4810199</v>
      </c>
      <c r="V107" s="5" t="s">
        <v>580</v>
      </c>
      <c r="W107" s="5" t="s">
        <v>154</v>
      </c>
      <c r="X107" s="5" t="s">
        <v>50</v>
      </c>
      <c r="Y107" s="8" t="str">
        <f aca="false">IF($C107&lt;&gt;"",TRIM($C107&amp;", "&amp;$D107&amp;", "&amp;$E107&amp;" "&amp;$F107),IF($R107&lt;&gt;"",$R107,IF($D107&lt;&gt;"",$D107&amp;", "&amp;$E107,$I107)))</f>
        <v>12207 Hwy 6 Ste B, Fresno, TX 77545</v>
      </c>
    </row>
    <row r="108" customFormat="false" ht="15" hidden="false" customHeight="true" outlineLevel="0" collapsed="false">
      <c r="A108" s="5" t="s">
        <v>581</v>
      </c>
      <c r="B108" s="5" t="s">
        <v>581</v>
      </c>
      <c r="C108" s="5"/>
      <c r="D108" s="5" t="s">
        <v>582</v>
      </c>
      <c r="E108" s="5" t="s">
        <v>40</v>
      </c>
      <c r="F108" s="5"/>
      <c r="G108" s="5" t="s">
        <v>31</v>
      </c>
      <c r="H108" s="5" t="s">
        <v>41</v>
      </c>
      <c r="I108" s="5" t="s">
        <v>42</v>
      </c>
      <c r="J108" s="6" t="n">
        <v>3</v>
      </c>
      <c r="K108" s="5" t="s">
        <v>583</v>
      </c>
      <c r="L108" s="5" t="n">
        <f aca="false">IF($K108="",0,LEN($K108)-LEN(SUBSTITUTE($K108,",",""))+1)</f>
        <v>3</v>
      </c>
      <c r="M108" s="5" t="s">
        <v>44</v>
      </c>
      <c r="N108" s="5" t="str">
        <f aca="false">TRIM($A108&amp;" "&amp;IF($C108="",$R108,$C108&amp;" "&amp;$D108&amp;" "&amp;$E108&amp;" "&amp;$F108))</f>
        <v>Double Barrel Wine and Spirits 11142 I-20, Forney, TX 75126</v>
      </c>
      <c r="O108" s="5" t="str">
        <f aca="false">IF($P108&lt;&gt;"","Exclude",IF(AND($M108&lt;&gt;"Full address",$R108=""),"Needs address",IF($J108&lt;0.5,"Hold - low volume",IF(LEFT($W108,3)="Low","Verify address",IF($G108="Needs review","Needs premise review",IF($X108="Estimated","Ready - address estimated","Ready"))))))</f>
        <v>Ready - address estimated</v>
      </c>
      <c r="P108" s="5"/>
      <c r="Q108" s="5" t="s">
        <v>45</v>
      </c>
      <c r="R108" s="5" t="s">
        <v>584</v>
      </c>
      <c r="S108" s="5" t="s">
        <v>581</v>
      </c>
      <c r="T108" s="7" t="n">
        <v>32.6984792</v>
      </c>
      <c r="U108" s="7" t="n">
        <v>-96.435809</v>
      </c>
      <c r="V108" s="5" t="s">
        <v>585</v>
      </c>
      <c r="W108" s="5" t="s">
        <v>154</v>
      </c>
      <c r="X108" s="5" t="s">
        <v>50</v>
      </c>
      <c r="Y108" s="8" t="str">
        <f aca="false">IF($C108&lt;&gt;"",TRIM($C108&amp;", "&amp;$D108&amp;", "&amp;$E108&amp;" "&amp;$F108),IF($R108&lt;&gt;"",$R108,IF($D108&lt;&gt;"",$D108&amp;", "&amp;$E108,$I108)))</f>
        <v>11142 I-20, Forney, TX 75126</v>
      </c>
    </row>
    <row r="109" customFormat="false" ht="15" hidden="false" customHeight="true" outlineLevel="0" collapsed="false">
      <c r="A109" s="5" t="s">
        <v>586</v>
      </c>
      <c r="B109" s="5" t="s">
        <v>586</v>
      </c>
      <c r="C109" s="5"/>
      <c r="D109" s="5" t="s">
        <v>349</v>
      </c>
      <c r="E109" s="5" t="s">
        <v>40</v>
      </c>
      <c r="F109" s="5"/>
      <c r="G109" s="5" t="s">
        <v>31</v>
      </c>
      <c r="H109" s="5" t="s">
        <v>41</v>
      </c>
      <c r="I109" s="5" t="s">
        <v>42</v>
      </c>
      <c r="J109" s="6" t="n">
        <v>3</v>
      </c>
      <c r="K109" s="5" t="s">
        <v>63</v>
      </c>
      <c r="L109" s="5" t="n">
        <f aca="false">IF($K109="",0,LEN($K109)-LEN(SUBSTITUTE($K109,",",""))+1)</f>
        <v>2</v>
      </c>
      <c r="M109" s="5" t="s">
        <v>44</v>
      </c>
      <c r="N109" s="5" t="str">
        <f aca="false">TRIM($A109&amp;" "&amp;IF($C109="",$R109,$C109&amp;" "&amp;$D109&amp;" "&amp;$E109&amp;" "&amp;$F109))</f>
        <v>Goody Goody #17 6393 Camp Bowie Blvd, Fort Worth, TX 76116</v>
      </c>
      <c r="O109" s="5" t="str">
        <f aca="false">IF($P109&lt;&gt;"","Exclude",IF(AND($M109&lt;&gt;"Full address",$R109=""),"Needs address",IF($J109&lt;0.5,"Hold - low volume",IF(LEFT($W109,3)="Low","Verify address",IF($G109="Needs review","Needs premise review",IF($X109="Estimated","Ready - address estimated","Ready"))))))</f>
        <v>Ready - address estimated</v>
      </c>
      <c r="P109" s="5"/>
      <c r="Q109" s="5" t="s">
        <v>45</v>
      </c>
      <c r="R109" s="5" t="s">
        <v>587</v>
      </c>
      <c r="S109" s="5" t="s">
        <v>47</v>
      </c>
      <c r="T109" s="7" t="n">
        <v>32.7249406</v>
      </c>
      <c r="U109" s="7" t="n">
        <v>-97.4213747</v>
      </c>
      <c r="V109" s="5" t="s">
        <v>588</v>
      </c>
      <c r="W109" s="5" t="s">
        <v>49</v>
      </c>
      <c r="X109" s="5" t="s">
        <v>50</v>
      </c>
      <c r="Y109" s="8" t="str">
        <f aca="false">IF($C109&lt;&gt;"",TRIM($C109&amp;", "&amp;$D109&amp;", "&amp;$E109&amp;" "&amp;$F109),IF($R109&lt;&gt;"",$R109,IF($D109&lt;&gt;"",$D109&amp;", "&amp;$E109,$I109)))</f>
        <v>6393 Camp Bowie Blvd, Fort Worth, TX 76116</v>
      </c>
    </row>
    <row r="110" customFormat="false" ht="15" hidden="false" customHeight="true" outlineLevel="0" collapsed="false">
      <c r="A110" s="5" t="s">
        <v>589</v>
      </c>
      <c r="B110" s="5" t="s">
        <v>589</v>
      </c>
      <c r="C110" s="5"/>
      <c r="D110" s="5" t="s">
        <v>590</v>
      </c>
      <c r="E110" s="5" t="s">
        <v>40</v>
      </c>
      <c r="F110" s="5"/>
      <c r="G110" s="5" t="s">
        <v>31</v>
      </c>
      <c r="H110" s="5" t="s">
        <v>41</v>
      </c>
      <c r="I110" s="5" t="s">
        <v>42</v>
      </c>
      <c r="J110" s="6" t="n">
        <v>3</v>
      </c>
      <c r="K110" s="5" t="s">
        <v>395</v>
      </c>
      <c r="L110" s="5" t="n">
        <f aca="false">IF($K110="",0,LEN($K110)-LEN(SUBSTITUTE($K110,",",""))+1)</f>
        <v>2</v>
      </c>
      <c r="M110" s="5" t="s">
        <v>44</v>
      </c>
      <c r="N110" s="5" t="str">
        <f aca="false">TRIM($A110&amp;" "&amp;IF($C110="",$R110,$C110&amp;" "&amp;$D110&amp;" "&amp;$E110&amp;" "&amp;$F110))</f>
        <v>Grand Liquor (Anna) 628 W White St Ste 106, Anna, TX 75409</v>
      </c>
      <c r="O110" s="5" t="str">
        <f aca="false">IF($P110&lt;&gt;"","Exclude",IF(AND($M110&lt;&gt;"Full address",$R110=""),"Needs address",IF($J110&lt;0.5,"Hold - low volume",IF(LEFT($W110,3)="Low","Verify address",IF($G110="Needs review","Needs premise review",IF($X110="Estimated","Ready - address estimated","Ready"))))))</f>
        <v>Ready - address estimated</v>
      </c>
      <c r="P110" s="5"/>
      <c r="Q110" s="5" t="s">
        <v>45</v>
      </c>
      <c r="R110" s="5" t="s">
        <v>591</v>
      </c>
      <c r="S110" s="5" t="s">
        <v>592</v>
      </c>
      <c r="T110" s="7" t="n">
        <v>33.3448251</v>
      </c>
      <c r="U110" s="7" t="n">
        <v>-96.5573989</v>
      </c>
      <c r="V110" s="5" t="s">
        <v>593</v>
      </c>
      <c r="W110" s="5" t="s">
        <v>154</v>
      </c>
      <c r="X110" s="5" t="s">
        <v>50</v>
      </c>
      <c r="Y110" s="8" t="str">
        <f aca="false">IF($C110&lt;&gt;"",TRIM($C110&amp;", "&amp;$D110&amp;", "&amp;$E110&amp;" "&amp;$F110),IF($R110&lt;&gt;"",$R110,IF($D110&lt;&gt;"",$D110&amp;", "&amp;$E110,$I110)))</f>
        <v>628 W White St Ste 106, Anna, TX 75409</v>
      </c>
    </row>
    <row r="111" customFormat="false" ht="15" hidden="false" customHeight="true" outlineLevel="0" collapsed="false">
      <c r="A111" s="5" t="s">
        <v>594</v>
      </c>
      <c r="B111" s="5" t="s">
        <v>594</v>
      </c>
      <c r="C111" s="5"/>
      <c r="D111" s="5" t="s">
        <v>595</v>
      </c>
      <c r="E111" s="5" t="s">
        <v>40</v>
      </c>
      <c r="F111" s="5"/>
      <c r="G111" s="5" t="s">
        <v>31</v>
      </c>
      <c r="H111" s="5" t="s">
        <v>157</v>
      </c>
      <c r="I111" s="5" t="s">
        <v>42</v>
      </c>
      <c r="J111" s="6" t="n">
        <v>3</v>
      </c>
      <c r="K111" s="5" t="s">
        <v>34</v>
      </c>
      <c r="L111" s="5" t="n">
        <f aca="false">IF($K111="",0,LEN($K111)-LEN(SUBSTITUTE($K111,",",""))+1)</f>
        <v>3</v>
      </c>
      <c r="M111" s="5" t="s">
        <v>44</v>
      </c>
      <c r="N111" s="5" t="str">
        <f aca="false">TRIM($A111&amp;" "&amp;IF($C111="",$R111,$C111&amp;" "&amp;$D111&amp;" "&amp;$E111&amp;" "&amp;$F111))</f>
        <v>Hotspot Liquor &amp; Vape 3244 Meridiana Pkwy Ste 800, Rosharon, TX 77583</v>
      </c>
      <c r="O111" s="5" t="str">
        <f aca="false">IF($P111&lt;&gt;"","Exclude",IF(AND($M111&lt;&gt;"Full address",$R111=""),"Needs address",IF($J111&lt;0.5,"Hold - low volume",IF(LEFT($W111,3)="Low","Verify address",IF($G111="Needs review","Needs premise review",IF($X111="Estimated","Ready - address estimated","Ready"))))))</f>
        <v>Ready - address estimated</v>
      </c>
      <c r="P111" s="5"/>
      <c r="Q111" s="5" t="s">
        <v>45</v>
      </c>
      <c r="R111" s="5" t="s">
        <v>596</v>
      </c>
      <c r="S111" s="5" t="s">
        <v>597</v>
      </c>
      <c r="T111" s="7" t="n">
        <v>29.4382962</v>
      </c>
      <c r="U111" s="7" t="n">
        <v>-95.4307849</v>
      </c>
      <c r="V111" s="5" t="s">
        <v>598</v>
      </c>
      <c r="W111" s="5" t="s">
        <v>300</v>
      </c>
      <c r="X111" s="5" t="s">
        <v>50</v>
      </c>
      <c r="Y111" s="8" t="str">
        <f aca="false">IF($C111&lt;&gt;"",TRIM($C111&amp;", "&amp;$D111&amp;", "&amp;$E111&amp;" "&amp;$F111),IF($R111&lt;&gt;"",$R111,IF($D111&lt;&gt;"",$D111&amp;", "&amp;$E111,$I111)))</f>
        <v>3244 Meridiana Pkwy Ste 800, Rosharon, TX 77583</v>
      </c>
    </row>
    <row r="112" customFormat="false" ht="15" hidden="false" customHeight="true" outlineLevel="0" collapsed="false">
      <c r="A112" s="5" t="s">
        <v>599</v>
      </c>
      <c r="B112" s="5" t="s">
        <v>599</v>
      </c>
      <c r="C112" s="5"/>
      <c r="D112" s="5" t="s">
        <v>171</v>
      </c>
      <c r="E112" s="5" t="s">
        <v>40</v>
      </c>
      <c r="F112" s="5"/>
      <c r="G112" s="5" t="s">
        <v>31</v>
      </c>
      <c r="H112" s="5" t="s">
        <v>41</v>
      </c>
      <c r="I112" s="5" t="s">
        <v>42</v>
      </c>
      <c r="J112" s="6" t="n">
        <v>3</v>
      </c>
      <c r="K112" s="5" t="s">
        <v>34</v>
      </c>
      <c r="L112" s="5" t="n">
        <f aca="false">IF($K112="",0,LEN($K112)-LEN(SUBSTITUTE($K112,",",""))+1)</f>
        <v>3</v>
      </c>
      <c r="M112" s="5" t="s">
        <v>44</v>
      </c>
      <c r="N112" s="5" t="str">
        <f aca="false">TRIM($A112&amp;" "&amp;IF($C112="",$R112,$C112&amp;" "&amp;$D112&amp;" "&amp;$E112&amp;" "&amp;$F112))</f>
        <v>Liquor Depot (KMY) Glenn Heights (Hampton)</v>
      </c>
      <c r="O112" s="5" t="str">
        <f aca="false">IF($P112&lt;&gt;"","Exclude",IF(AND($M112&lt;&gt;"Full address",$R112=""),"Needs address",IF($J112&lt;0.5,"Hold - low volume",IF(LEFT($W112,3)="Low","Verify address",IF($G112="Needs review","Needs premise review",IF($X112="Estimated","Ready - address estimated","Ready"))))))</f>
        <v>Needs address</v>
      </c>
      <c r="P112" s="5"/>
      <c r="Q112" s="5" t="s">
        <v>45</v>
      </c>
      <c r="R112" s="5"/>
      <c r="S112" s="5"/>
      <c r="T112" s="7"/>
      <c r="U112" s="7"/>
      <c r="V112" s="5"/>
      <c r="W112" s="5"/>
      <c r="X112" s="5" t="s">
        <v>3</v>
      </c>
      <c r="Y112" s="8" t="str">
        <f aca="false">IF($C112&lt;&gt;"",TRIM($C112&amp;", "&amp;$D112&amp;", "&amp;$E112&amp;" "&amp;$F112),IF($R112&lt;&gt;"",$R112,IF($D112&lt;&gt;"",$D112&amp;", "&amp;$E112,$I112)))</f>
        <v>Glenn Heights, TX</v>
      </c>
    </row>
    <row r="113" customFormat="false" ht="15" hidden="false" customHeight="true" outlineLevel="0" collapsed="false">
      <c r="A113" s="5" t="s">
        <v>600</v>
      </c>
      <c r="B113" s="5" t="s">
        <v>600</v>
      </c>
      <c r="C113" s="5"/>
      <c r="D113" s="5" t="s">
        <v>308</v>
      </c>
      <c r="E113" s="5" t="s">
        <v>40</v>
      </c>
      <c r="F113" s="5"/>
      <c r="G113" s="5" t="s">
        <v>31</v>
      </c>
      <c r="H113" s="5" t="s">
        <v>157</v>
      </c>
      <c r="I113" s="5" t="s">
        <v>42</v>
      </c>
      <c r="J113" s="6" t="n">
        <v>3</v>
      </c>
      <c r="K113" s="5" t="s">
        <v>389</v>
      </c>
      <c r="L113" s="5" t="n">
        <f aca="false">IF($K113="",0,LEN($K113)-LEN(SUBSTITUTE($K113,",",""))+1)</f>
        <v>3</v>
      </c>
      <c r="M113" s="5" t="s">
        <v>44</v>
      </c>
      <c r="N113" s="5" t="str">
        <f aca="false">TRIM($A113&amp;" "&amp;IF($C113="",$R113,$C113&amp;" "&amp;$D113&amp;" "&amp;$E113&amp;" "&amp;$F113))</f>
        <v>M &amp; R Package Store 5901 Bell St Ste C7, Amarillo, TX 79109</v>
      </c>
      <c r="O113" s="5" t="str">
        <f aca="false">IF($P113&lt;&gt;"","Exclude",IF(AND($M113&lt;&gt;"Full address",$R113=""),"Needs address",IF($J113&lt;0.5,"Hold - low volume",IF(LEFT($W113,3)="Low","Verify address",IF($G113="Needs review","Needs premise review",IF($X113="Estimated","Ready - address estimated","Ready"))))))</f>
        <v>Ready - address estimated</v>
      </c>
      <c r="P113" s="5"/>
      <c r="Q113" s="5" t="s">
        <v>45</v>
      </c>
      <c r="R113" s="5" t="s">
        <v>601</v>
      </c>
      <c r="S113" s="5" t="s">
        <v>602</v>
      </c>
      <c r="T113" s="7" t="n">
        <v>35.1476194</v>
      </c>
      <c r="U113" s="7" t="n">
        <v>-101.9013381</v>
      </c>
      <c r="V113" s="5" t="s">
        <v>603</v>
      </c>
      <c r="W113" s="5" t="s">
        <v>300</v>
      </c>
      <c r="X113" s="5" t="s">
        <v>50</v>
      </c>
      <c r="Y113" s="8" t="str">
        <f aca="false">IF($C113&lt;&gt;"",TRIM($C113&amp;", "&amp;$D113&amp;", "&amp;$E113&amp;" "&amp;$F113),IF($R113&lt;&gt;"",$R113,IF($D113&lt;&gt;"",$D113&amp;", "&amp;$E113,$I113)))</f>
        <v>5901 Bell St Ste C7, Amarillo, TX 79109</v>
      </c>
    </row>
    <row r="114" customFormat="false" ht="15" hidden="false" customHeight="true" outlineLevel="0" collapsed="false">
      <c r="A114" s="5" t="s">
        <v>604</v>
      </c>
      <c r="B114" s="5" t="s">
        <v>604</v>
      </c>
      <c r="C114" s="5"/>
      <c r="D114" s="5" t="s">
        <v>605</v>
      </c>
      <c r="E114" s="5" t="s">
        <v>40</v>
      </c>
      <c r="F114" s="5"/>
      <c r="G114" s="5" t="s">
        <v>31</v>
      </c>
      <c r="H114" s="5" t="s">
        <v>157</v>
      </c>
      <c r="I114" s="5" t="s">
        <v>42</v>
      </c>
      <c r="J114" s="6" t="n">
        <v>3</v>
      </c>
      <c r="K114" s="5" t="s">
        <v>63</v>
      </c>
      <c r="L114" s="5" t="n">
        <f aca="false">IF($K114="",0,LEN($K114)-LEN(SUBSTITUTE($K114,",",""))+1)</f>
        <v>2</v>
      </c>
      <c r="M114" s="5" t="s">
        <v>44</v>
      </c>
      <c r="N114" s="5" t="str">
        <f aca="false">TRIM($A114&amp;" "&amp;IF($C114="",$R114,$C114&amp;" "&amp;$D114&amp;" "&amp;$E114&amp;" "&amp;$F114))</f>
        <v>Spec's #075 Killeen 2500 E Central Texas Expy, Killeen, TX 76543</v>
      </c>
      <c r="O114" s="5" t="str">
        <f aca="false">IF($P114&lt;&gt;"","Exclude",IF(AND($M114&lt;&gt;"Full address",$R114=""),"Needs address",IF($J114&lt;0.5,"Hold - low volume",IF(LEFT($W114,3)="Low","Verify address",IF($G114="Needs review","Needs premise review",IF($X114="Estimated","Ready - address estimated","Ready"))))))</f>
        <v>Ready - address estimated</v>
      </c>
      <c r="P114" s="5"/>
      <c r="Q114" s="5" t="s">
        <v>45</v>
      </c>
      <c r="R114" s="5" t="s">
        <v>606</v>
      </c>
      <c r="S114" s="5" t="s">
        <v>356</v>
      </c>
      <c r="T114" s="7" t="n">
        <v>31.0879448</v>
      </c>
      <c r="U114" s="7" t="n">
        <v>-97.7187522</v>
      </c>
      <c r="V114" s="5" t="s">
        <v>607</v>
      </c>
      <c r="W114" s="5" t="s">
        <v>608</v>
      </c>
      <c r="X114" s="5" t="s">
        <v>50</v>
      </c>
      <c r="Y114" s="8" t="str">
        <f aca="false">IF($C114&lt;&gt;"",TRIM($C114&amp;", "&amp;$D114&amp;", "&amp;$E114&amp;" "&amp;$F114),IF($R114&lt;&gt;"",$R114,IF($D114&lt;&gt;"",$D114&amp;", "&amp;$E114,$I114)))</f>
        <v>2500 E Central Texas Expy, Killeen, TX 76543</v>
      </c>
    </row>
    <row r="115" customFormat="false" ht="15" hidden="false" customHeight="true" outlineLevel="0" collapsed="false">
      <c r="A115" s="5" t="s">
        <v>609</v>
      </c>
      <c r="B115" s="5" t="s">
        <v>609</v>
      </c>
      <c r="C115" s="5"/>
      <c r="D115" s="5" t="s">
        <v>271</v>
      </c>
      <c r="E115" s="5" t="s">
        <v>40</v>
      </c>
      <c r="F115" s="5"/>
      <c r="G115" s="5" t="s">
        <v>31</v>
      </c>
      <c r="H115" s="5" t="s">
        <v>157</v>
      </c>
      <c r="I115" s="5" t="s">
        <v>42</v>
      </c>
      <c r="J115" s="6" t="n">
        <v>3</v>
      </c>
      <c r="K115" s="5" t="s">
        <v>34</v>
      </c>
      <c r="L115" s="5" t="n">
        <f aca="false">IF($K115="",0,LEN($K115)-LEN(SUBSTITUTE($K115,",",""))+1)</f>
        <v>3</v>
      </c>
      <c r="M115" s="5" t="s">
        <v>44</v>
      </c>
      <c r="N115" s="5" t="str">
        <f aca="false">TRIM($A115&amp;" "&amp;IF($C115="",$R115,$C115&amp;" "&amp;$D115&amp;" "&amp;$E115&amp;" "&amp;$F115))</f>
        <v>Spec's #094 El Paso Sunland Park 655 Sunland Park Dr Ste F, El Paso, TX 79912</v>
      </c>
      <c r="O115" s="5" t="str">
        <f aca="false">IF($P115&lt;&gt;"","Exclude",IF(AND($M115&lt;&gt;"Full address",$R115=""),"Needs address",IF($J115&lt;0.5,"Hold - low volume",IF(LEFT($W115,3)="Low","Verify address",IF($G115="Needs review","Needs premise review",IF($X115="Estimated","Ready - address estimated","Ready"))))))</f>
        <v>Ready - address estimated</v>
      </c>
      <c r="P115" s="5"/>
      <c r="Q115" s="5" t="s">
        <v>45</v>
      </c>
      <c r="R115" s="5" t="s">
        <v>610</v>
      </c>
      <c r="S115" s="5" t="s">
        <v>356</v>
      </c>
      <c r="T115" s="7" t="n">
        <v>31.8217631</v>
      </c>
      <c r="U115" s="7" t="n">
        <v>-106.5416015</v>
      </c>
      <c r="V115" s="5" t="s">
        <v>611</v>
      </c>
      <c r="W115" s="5" t="s">
        <v>612</v>
      </c>
      <c r="X115" s="5" t="s">
        <v>50</v>
      </c>
      <c r="Y115" s="8" t="str">
        <f aca="false">IF($C115&lt;&gt;"",TRIM($C115&amp;", "&amp;$D115&amp;", "&amp;$E115&amp;" "&amp;$F115),IF($R115&lt;&gt;"",$R115,IF($D115&lt;&gt;"",$D115&amp;", "&amp;$E115,$I115)))</f>
        <v>655 Sunland Park Dr Ste F, El Paso, TX 79912</v>
      </c>
    </row>
    <row r="116" customFormat="false" ht="15" hidden="false" customHeight="true" outlineLevel="0" collapsed="false">
      <c r="A116" s="5" t="s">
        <v>613</v>
      </c>
      <c r="B116" s="5" t="s">
        <v>613</v>
      </c>
      <c r="C116" s="5"/>
      <c r="D116" s="5" t="s">
        <v>271</v>
      </c>
      <c r="E116" s="5" t="s">
        <v>40</v>
      </c>
      <c r="F116" s="5"/>
      <c r="G116" s="5" t="s">
        <v>31</v>
      </c>
      <c r="H116" s="5" t="s">
        <v>157</v>
      </c>
      <c r="I116" s="5" t="s">
        <v>42</v>
      </c>
      <c r="J116" s="6" t="n">
        <v>3</v>
      </c>
      <c r="K116" s="5" t="s">
        <v>76</v>
      </c>
      <c r="L116" s="5" t="n">
        <f aca="false">IF($K116="",0,LEN($K116)-LEN(SUBSTITUTE($K116,",",""))+1)</f>
        <v>1</v>
      </c>
      <c r="M116" s="5" t="s">
        <v>44</v>
      </c>
      <c r="N116" s="5" t="str">
        <f aca="false">TRIM($A116&amp;" "&amp;IF($C116="",$R116,$C116&amp;" "&amp;$D116&amp;" "&amp;$E116&amp;" "&amp;$F116))</f>
        <v>Spec's #105 El Paso Mesa 2501 N Mesa St, El Paso, TX 79902</v>
      </c>
      <c r="O116" s="5" t="str">
        <f aca="false">IF($P116&lt;&gt;"","Exclude",IF(AND($M116&lt;&gt;"Full address",$R116=""),"Needs address",IF($J116&lt;0.5,"Hold - low volume",IF(LEFT($W116,3)="Low","Verify address",IF($G116="Needs review","Needs premise review",IF($X116="Estimated","Ready - address estimated","Ready"))))))</f>
        <v>Ready - address estimated</v>
      </c>
      <c r="P116" s="5"/>
      <c r="Q116" s="5" t="s">
        <v>45</v>
      </c>
      <c r="R116" s="5" t="s">
        <v>614</v>
      </c>
      <c r="S116" s="5" t="s">
        <v>356</v>
      </c>
      <c r="T116" s="7" t="n">
        <v>31.7756196</v>
      </c>
      <c r="U116" s="7" t="n">
        <v>-106.5028112</v>
      </c>
      <c r="V116" s="5" t="s">
        <v>615</v>
      </c>
      <c r="W116" s="5" t="s">
        <v>612</v>
      </c>
      <c r="X116" s="5" t="s">
        <v>50</v>
      </c>
      <c r="Y116" s="8" t="str">
        <f aca="false">IF($C116&lt;&gt;"",TRIM($C116&amp;", "&amp;$D116&amp;", "&amp;$E116&amp;" "&amp;$F116),IF($R116&lt;&gt;"",$R116,IF($D116&lt;&gt;"",$D116&amp;", "&amp;$E116,$I116)))</f>
        <v>2501 N Mesa St, El Paso, TX 79902</v>
      </c>
    </row>
    <row r="117" customFormat="false" ht="15" hidden="false" customHeight="true" outlineLevel="0" collapsed="false">
      <c r="A117" s="5" t="s">
        <v>616</v>
      </c>
      <c r="B117" s="5" t="s">
        <v>616</v>
      </c>
      <c r="C117" s="5"/>
      <c r="D117" s="5" t="s">
        <v>617</v>
      </c>
      <c r="E117" s="5" t="s">
        <v>40</v>
      </c>
      <c r="F117" s="5"/>
      <c r="G117" s="5" t="s">
        <v>31</v>
      </c>
      <c r="H117" s="5" t="s">
        <v>41</v>
      </c>
      <c r="I117" s="5" t="s">
        <v>42</v>
      </c>
      <c r="J117" s="6" t="n">
        <v>3</v>
      </c>
      <c r="K117" s="5" t="s">
        <v>63</v>
      </c>
      <c r="L117" s="5" t="n">
        <f aca="false">IF($K117="",0,LEN($K117)-LEN(SUBSTITUTE($K117,",",""))+1)</f>
        <v>2</v>
      </c>
      <c r="M117" s="5" t="s">
        <v>44</v>
      </c>
      <c r="N117" s="5" t="str">
        <f aca="false">TRIM($A117&amp;" "&amp;IF($C117="",$R117,$C117&amp;" "&amp;$D117&amp;" "&amp;$E117&amp;" "&amp;$F117))</f>
        <v>Spec's #170 Euless 900 E Harwood Rd, Euless, TX 76039</v>
      </c>
      <c r="O117" s="5" t="str">
        <f aca="false">IF($P117&lt;&gt;"","Exclude",IF(AND($M117&lt;&gt;"Full address",$R117=""),"Needs address",IF($J117&lt;0.5,"Hold - low volume",IF(LEFT($W117,3)="Low","Verify address",IF($G117="Needs review","Needs premise review",IF($X117="Estimated","Ready - address estimated","Ready"))))))</f>
        <v>Ready - address estimated</v>
      </c>
      <c r="P117" s="5"/>
      <c r="Q117" s="5" t="s">
        <v>45</v>
      </c>
      <c r="R117" s="5" t="s">
        <v>618</v>
      </c>
      <c r="S117" s="5" t="s">
        <v>356</v>
      </c>
      <c r="T117" s="7" t="n">
        <v>32.8513301</v>
      </c>
      <c r="U117" s="7" t="n">
        <v>-97.0689242</v>
      </c>
      <c r="V117" s="5" t="s">
        <v>619</v>
      </c>
      <c r="W117" s="5" t="s">
        <v>608</v>
      </c>
      <c r="X117" s="5" t="s">
        <v>50</v>
      </c>
      <c r="Y117" s="8" t="str">
        <f aca="false">IF($C117&lt;&gt;"",TRIM($C117&amp;", "&amp;$D117&amp;", "&amp;$E117&amp;" "&amp;$F117),IF($R117&lt;&gt;"",$R117,IF($D117&lt;&gt;"",$D117&amp;", "&amp;$E117,$I117)))</f>
        <v>900 E Harwood Rd, Euless, TX 76039</v>
      </c>
    </row>
    <row r="118" customFormat="false" ht="15" hidden="false" customHeight="true" outlineLevel="0" collapsed="false">
      <c r="A118" s="5" t="s">
        <v>620</v>
      </c>
      <c r="B118" s="5" t="s">
        <v>620</v>
      </c>
      <c r="C118" s="5"/>
      <c r="D118" s="5" t="s">
        <v>621</v>
      </c>
      <c r="E118" s="5" t="s">
        <v>40</v>
      </c>
      <c r="F118" s="5"/>
      <c r="G118" s="5" t="s">
        <v>31</v>
      </c>
      <c r="H118" s="5" t="s">
        <v>41</v>
      </c>
      <c r="I118" s="5" t="s">
        <v>42</v>
      </c>
      <c r="J118" s="6" t="n">
        <v>3</v>
      </c>
      <c r="K118" s="5" t="s">
        <v>34</v>
      </c>
      <c r="L118" s="5" t="n">
        <f aca="false">IF($K118="",0,LEN($K118)-LEN(SUBSTITUTE($K118,",",""))+1)</f>
        <v>3</v>
      </c>
      <c r="M118" s="5" t="s">
        <v>44</v>
      </c>
      <c r="N118" s="5" t="str">
        <f aca="false">TRIM($A118&amp;" "&amp;IF($C118="",$R118,$C118&amp;" "&amp;$D118&amp;" "&amp;$E118&amp;" "&amp;$F118))</f>
        <v>Spec's #191 Cedar Hill 971 J. Elmer Weaver Fwy #400, Cedar Hill, TX 75104</v>
      </c>
      <c r="O118" s="5" t="str">
        <f aca="false">IF($P118&lt;&gt;"","Exclude",IF(AND($M118&lt;&gt;"Full address",$R118=""),"Needs address",IF($J118&lt;0.5,"Hold - low volume",IF(LEFT($W118,3)="Low","Verify address",IF($G118="Needs review","Needs premise review",IF($X118="Estimated","Ready - address estimated","Ready"))))))</f>
        <v>Ready - address estimated</v>
      </c>
      <c r="P118" s="5"/>
      <c r="Q118" s="5" t="s">
        <v>45</v>
      </c>
      <c r="R118" s="5" t="s">
        <v>622</v>
      </c>
      <c r="S118" s="5" t="s">
        <v>356</v>
      </c>
      <c r="T118" s="7" t="n">
        <v>32.6058639</v>
      </c>
      <c r="U118" s="7" t="n">
        <v>-96.9310673</v>
      </c>
      <c r="V118" s="5" t="s">
        <v>623</v>
      </c>
      <c r="W118" s="5" t="s">
        <v>608</v>
      </c>
      <c r="X118" s="5" t="s">
        <v>50</v>
      </c>
      <c r="Y118" s="8" t="str">
        <f aca="false">IF($C118&lt;&gt;"",TRIM($C118&amp;", "&amp;$D118&amp;", "&amp;$E118&amp;" "&amp;$F118),IF($R118&lt;&gt;"",$R118,IF($D118&lt;&gt;"",$D118&amp;", "&amp;$E118,$I118)))</f>
        <v>971 J. Elmer Weaver Fwy #400, Cedar Hill, TX 75104</v>
      </c>
    </row>
    <row r="119" customFormat="false" ht="15" hidden="false" customHeight="true" outlineLevel="0" collapsed="false">
      <c r="A119" s="5" t="s">
        <v>624</v>
      </c>
      <c r="B119" s="5" t="s">
        <v>624</v>
      </c>
      <c r="C119" s="5"/>
      <c r="D119" s="5" t="s">
        <v>625</v>
      </c>
      <c r="E119" s="5" t="s">
        <v>40</v>
      </c>
      <c r="F119" s="5"/>
      <c r="G119" s="5" t="s">
        <v>31</v>
      </c>
      <c r="H119" s="5" t="s">
        <v>41</v>
      </c>
      <c r="I119" s="5" t="s">
        <v>42</v>
      </c>
      <c r="J119" s="6" t="n">
        <v>3</v>
      </c>
      <c r="K119" s="5" t="s">
        <v>414</v>
      </c>
      <c r="L119" s="5" t="n">
        <f aca="false">IF($K119="",0,LEN($K119)-LEN(SUBSTITUTE($K119,",",""))+1)</f>
        <v>2</v>
      </c>
      <c r="M119" s="5" t="s">
        <v>44</v>
      </c>
      <c r="N119" s="5" t="str">
        <f aca="false">TRIM($A119&amp;" "&amp;IF($C119="",$R119,$C119&amp;" "&amp;$D119&amp;" "&amp;$E119&amp;" "&amp;$F119))</f>
        <v>Spec's #202 Grand Prairie 4136 S Carrier Pkwy Ste 340, Grand Prairie, TX 75052</v>
      </c>
      <c r="O119" s="5" t="str">
        <f aca="false">IF($P119&lt;&gt;"","Exclude",IF(AND($M119&lt;&gt;"Full address",$R119=""),"Needs address",IF($J119&lt;0.5,"Hold - low volume",IF(LEFT($W119,3)="Low","Verify address",IF($G119="Needs review","Needs premise review",IF($X119="Estimated","Ready - address estimated","Ready"))))))</f>
        <v>Ready - address estimated</v>
      </c>
      <c r="P119" s="5"/>
      <c r="Q119" s="5" t="s">
        <v>45</v>
      </c>
      <c r="R119" s="5" t="s">
        <v>626</v>
      </c>
      <c r="S119" s="5" t="s">
        <v>356</v>
      </c>
      <c r="T119" s="7" t="n">
        <v>32.672085</v>
      </c>
      <c r="U119" s="7" t="n">
        <v>-97.0076612</v>
      </c>
      <c r="V119" s="5" t="s">
        <v>627</v>
      </c>
      <c r="W119" s="5" t="s">
        <v>608</v>
      </c>
      <c r="X119" s="5" t="s">
        <v>50</v>
      </c>
      <c r="Y119" s="8" t="str">
        <f aca="false">IF($C119&lt;&gt;"",TRIM($C119&amp;", "&amp;$D119&amp;", "&amp;$E119&amp;" "&amp;$F119),IF($R119&lt;&gt;"",$R119,IF($D119&lt;&gt;"",$D119&amp;", "&amp;$E119,$I119)))</f>
        <v>4136 S Carrier Pkwy Ste 340, Grand Prairie, TX 75052</v>
      </c>
    </row>
    <row r="120" customFormat="false" ht="15" hidden="false" customHeight="true" outlineLevel="0" collapsed="false">
      <c r="A120" s="5" t="s">
        <v>628</v>
      </c>
      <c r="B120" s="5" t="s">
        <v>628</v>
      </c>
      <c r="C120" s="5"/>
      <c r="D120" s="5" t="s">
        <v>349</v>
      </c>
      <c r="E120" s="5" t="s">
        <v>40</v>
      </c>
      <c r="F120" s="5"/>
      <c r="G120" s="5" t="s">
        <v>31</v>
      </c>
      <c r="H120" s="5" t="s">
        <v>41</v>
      </c>
      <c r="I120" s="5" t="s">
        <v>42</v>
      </c>
      <c r="J120" s="6" t="n">
        <v>3</v>
      </c>
      <c r="K120" s="5" t="s">
        <v>34</v>
      </c>
      <c r="L120" s="5" t="n">
        <f aca="false">IF($K120="",0,LEN($K120)-LEN(SUBSTITUTE($K120,",",""))+1)</f>
        <v>3</v>
      </c>
      <c r="M120" s="5" t="s">
        <v>44</v>
      </c>
      <c r="N120" s="5" t="str">
        <f aca="false">TRIM($A120&amp;" "&amp;IF($C120="",$R120,$C120&amp;" "&amp;$D120&amp;" "&amp;$E120&amp;" "&amp;$F120))</f>
        <v>Spec's #223 Burleson 12425 South Fwy, Burleson, TX 76028</v>
      </c>
      <c r="O120" s="5" t="str">
        <f aca="false">IF($P120&lt;&gt;"","Exclude",IF(AND($M120&lt;&gt;"Full address",$R120=""),"Needs address",IF($J120&lt;0.5,"Hold - low volume",IF(LEFT($W120,3)="Low","Verify address",IF($G120="Needs review","Needs premise review",IF($X120="Estimated","Ready - address estimated","Ready"))))))</f>
        <v>Ready - address estimated</v>
      </c>
      <c r="P120" s="5"/>
      <c r="Q120" s="5" t="s">
        <v>45</v>
      </c>
      <c r="R120" s="5" t="s">
        <v>629</v>
      </c>
      <c r="S120" s="5" t="s">
        <v>356</v>
      </c>
      <c r="T120" s="7" t="n">
        <v>32.5767076</v>
      </c>
      <c r="U120" s="7" t="n">
        <v>-97.3172493</v>
      </c>
      <c r="V120" s="5" t="s">
        <v>630</v>
      </c>
      <c r="W120" s="5" t="s">
        <v>631</v>
      </c>
      <c r="X120" s="5" t="s">
        <v>50</v>
      </c>
      <c r="Y120" s="8" t="str">
        <f aca="false">IF($C120&lt;&gt;"",TRIM($C120&amp;", "&amp;$D120&amp;", "&amp;$E120&amp;" "&amp;$F120),IF($R120&lt;&gt;"",$R120,IF($D120&lt;&gt;"",$D120&amp;", "&amp;$E120,$I120)))</f>
        <v>12425 South Fwy, Burleson, TX 76028</v>
      </c>
    </row>
    <row r="121" customFormat="false" ht="15" hidden="false" customHeight="true" outlineLevel="0" collapsed="false">
      <c r="A121" s="5" t="s">
        <v>632</v>
      </c>
      <c r="B121" s="5" t="s">
        <v>633</v>
      </c>
      <c r="C121" s="5"/>
      <c r="D121" s="5" t="s">
        <v>634</v>
      </c>
      <c r="E121" s="5" t="s">
        <v>40</v>
      </c>
      <c r="F121" s="5"/>
      <c r="G121" s="5" t="s">
        <v>31</v>
      </c>
      <c r="H121" s="5" t="s">
        <v>360</v>
      </c>
      <c r="I121" s="5" t="s">
        <v>42</v>
      </c>
      <c r="J121" s="6" t="n">
        <v>3</v>
      </c>
      <c r="K121" s="5" t="s">
        <v>34</v>
      </c>
      <c r="L121" s="5" t="n">
        <f aca="false">IF($K121="",0,LEN($K121)-LEN(SUBSTITUTE($K121,",",""))+1)</f>
        <v>3</v>
      </c>
      <c r="M121" s="5" t="s">
        <v>44</v>
      </c>
      <c r="N121" s="5" t="str">
        <f aca="false">TRIM($A121&amp;" "&amp;IF($C121="",$R121,$C121&amp;" "&amp;$D121&amp;" "&amp;$E121&amp;" "&amp;$F121))</f>
        <v>The Liquor Cabinet 15301 Ronald Reagan Blvd #11110, Leander, TX 78641</v>
      </c>
      <c r="O121" s="5" t="str">
        <f aca="false">IF($P121&lt;&gt;"","Exclude",IF(AND($M121&lt;&gt;"Full address",$R121=""),"Needs address",IF($J121&lt;0.5,"Hold - low volume",IF(LEFT($W121,3)="Low","Verify address",IF($G121="Needs review","Needs premise review",IF($X121="Estimated","Ready - address estimated","Ready"))))))</f>
        <v>Ready - address estimated</v>
      </c>
      <c r="P121" s="5"/>
      <c r="Q121" s="5" t="s">
        <v>45</v>
      </c>
      <c r="R121" s="5" t="s">
        <v>635</v>
      </c>
      <c r="S121" s="5" t="s">
        <v>632</v>
      </c>
      <c r="T121" s="7" t="n">
        <v>30.5602055</v>
      </c>
      <c r="U121" s="7" t="n">
        <v>-97.8002361</v>
      </c>
      <c r="V121" s="5" t="s">
        <v>636</v>
      </c>
      <c r="W121" s="5" t="s">
        <v>154</v>
      </c>
      <c r="X121" s="5" t="s">
        <v>50</v>
      </c>
      <c r="Y121" s="8" t="str">
        <f aca="false">IF($C121&lt;&gt;"",TRIM($C121&amp;", "&amp;$D121&amp;", "&amp;$E121&amp;" "&amp;$F121),IF($R121&lt;&gt;"",$R121,IF($D121&lt;&gt;"",$D121&amp;", "&amp;$E121,$I121)))</f>
        <v>15301 Ronald Reagan Blvd #11110, Leander, TX 78641</v>
      </c>
    </row>
    <row r="122" customFormat="false" ht="15" hidden="false" customHeight="true" outlineLevel="0" collapsed="false">
      <c r="A122" s="5" t="s">
        <v>637</v>
      </c>
      <c r="B122" s="5" t="s">
        <v>637</v>
      </c>
      <c r="C122" s="5"/>
      <c r="D122" s="5" t="s">
        <v>271</v>
      </c>
      <c r="E122" s="5" t="s">
        <v>40</v>
      </c>
      <c r="F122" s="5"/>
      <c r="G122" s="5" t="s">
        <v>31</v>
      </c>
      <c r="H122" s="5" t="s">
        <v>157</v>
      </c>
      <c r="I122" s="5" t="s">
        <v>42</v>
      </c>
      <c r="J122" s="6" t="n">
        <v>3</v>
      </c>
      <c r="K122" s="5" t="s">
        <v>426</v>
      </c>
      <c r="L122" s="5" t="n">
        <f aca="false">IF($K122="",0,LEN($K122)-LEN(SUBSTITUTE($K122,",",""))+1)</f>
        <v>1</v>
      </c>
      <c r="M122" s="5" t="s">
        <v>44</v>
      </c>
      <c r="N122" s="5" t="str">
        <f aca="false">TRIM($A122&amp;" "&amp;IF($C122="",$R122,$C122&amp;" "&amp;$D122&amp;" "&amp;$E122&amp;" "&amp;$F122))</f>
        <v>WB Liquors #90</v>
      </c>
      <c r="O122" s="5" t="str">
        <f aca="false">IF($P122&lt;&gt;"","Exclude",IF(AND($M122&lt;&gt;"Full address",$R122=""),"Needs address",IF($J122&lt;0.5,"Hold - low volume",IF(LEFT($W122,3)="Low","Verify address",IF($G122="Needs review","Needs premise review",IF($X122="Estimated","Ready - address estimated","Ready"))))))</f>
        <v>Needs address</v>
      </c>
      <c r="P122" s="5"/>
      <c r="Q122" s="5" t="s">
        <v>45</v>
      </c>
      <c r="R122" s="5"/>
      <c r="S122" s="5"/>
      <c r="T122" s="7"/>
      <c r="U122" s="7"/>
      <c r="V122" s="5"/>
      <c r="W122" s="5"/>
      <c r="X122" s="5" t="s">
        <v>3</v>
      </c>
      <c r="Y122" s="8" t="str">
        <f aca="false">IF($C122&lt;&gt;"",TRIM($C122&amp;", "&amp;$D122&amp;", "&amp;$E122&amp;" "&amp;$F122),IF($R122&lt;&gt;"",$R122,IF($D122&lt;&gt;"",$D122&amp;", "&amp;$E122,$I122)))</f>
        <v>El Paso, TX</v>
      </c>
    </row>
    <row r="123" customFormat="false" ht="15" hidden="false" customHeight="true" outlineLevel="0" collapsed="false">
      <c r="A123" s="5" t="s">
        <v>638</v>
      </c>
      <c r="B123" s="5" t="s">
        <v>638</v>
      </c>
      <c r="C123" s="5"/>
      <c r="D123" s="5" t="s">
        <v>639</v>
      </c>
      <c r="E123" s="5" t="s">
        <v>40</v>
      </c>
      <c r="F123" s="5"/>
      <c r="G123" s="5" t="s">
        <v>31</v>
      </c>
      <c r="H123" s="5" t="s">
        <v>41</v>
      </c>
      <c r="I123" s="5" t="s">
        <v>42</v>
      </c>
      <c r="J123" s="6" t="n">
        <v>2.5</v>
      </c>
      <c r="K123" s="5" t="s">
        <v>34</v>
      </c>
      <c r="L123" s="5" t="n">
        <f aca="false">IF($K123="",0,LEN($K123)-LEN(SUBSTITUTE($K123,",",""))+1)</f>
        <v>3</v>
      </c>
      <c r="M123" s="5" t="s">
        <v>44</v>
      </c>
      <c r="N123" s="5" t="str">
        <f aca="false">TRIM($A123&amp;" "&amp;IF($C123="",$R123,$C123&amp;" "&amp;$D123&amp;" "&amp;$E123&amp;" "&amp;$F123))</f>
        <v>The Liquor Outpost #7 1450 Debbie Ln #100, Arlington, TX 76002</v>
      </c>
      <c r="O123" s="5" t="str">
        <f aca="false">IF($P123&lt;&gt;"","Exclude",IF(AND($M123&lt;&gt;"Full address",$R123=""),"Needs address",IF($J123&lt;0.5,"Hold - low volume",IF(LEFT($W123,3)="Low","Verify address",IF($G123="Needs review","Needs premise review",IF($X123="Estimated","Ready - address estimated","Ready"))))))</f>
        <v>Ready - address estimated</v>
      </c>
      <c r="P123" s="5"/>
      <c r="Q123" s="5" t="s">
        <v>45</v>
      </c>
      <c r="R123" s="5" t="s">
        <v>640</v>
      </c>
      <c r="S123" s="5" t="s">
        <v>641</v>
      </c>
      <c r="T123" s="7" t="n">
        <v>32.6078202</v>
      </c>
      <c r="U123" s="7" t="n">
        <v>-97.0794098</v>
      </c>
      <c r="V123" s="5" t="s">
        <v>642</v>
      </c>
      <c r="W123" s="5" t="s">
        <v>269</v>
      </c>
      <c r="X123" s="5" t="s">
        <v>50</v>
      </c>
      <c r="Y123" s="8" t="str">
        <f aca="false">IF($C123&lt;&gt;"",TRIM($C123&amp;", "&amp;$D123&amp;", "&amp;$E123&amp;" "&amp;$F123),IF($R123&lt;&gt;"",$R123,IF($D123&lt;&gt;"",$D123&amp;", "&amp;$E123,$I123)))</f>
        <v>1450 Debbie Ln #100, Arlington, TX 76002</v>
      </c>
    </row>
    <row r="124" customFormat="false" ht="15" hidden="false" customHeight="true" outlineLevel="0" collapsed="false">
      <c r="A124" s="5" t="s">
        <v>643</v>
      </c>
      <c r="B124" s="5" t="s">
        <v>644</v>
      </c>
      <c r="C124" s="5" t="s">
        <v>645</v>
      </c>
      <c r="D124" s="5" t="s">
        <v>483</v>
      </c>
      <c r="E124" s="5" t="s">
        <v>484</v>
      </c>
      <c r="F124" s="5" t="s">
        <v>646</v>
      </c>
      <c r="G124" s="5" t="s">
        <v>31</v>
      </c>
      <c r="H124" s="5" t="s">
        <v>486</v>
      </c>
      <c r="I124" s="5" t="s">
        <v>487</v>
      </c>
      <c r="J124" s="6" t="n">
        <v>2.33</v>
      </c>
      <c r="K124" s="5" t="s">
        <v>469</v>
      </c>
      <c r="L124" s="5" t="n">
        <f aca="false">IF($K124="",0,LEN($K124)-LEN(SUBSTITUTE($K124,",",""))+1)</f>
        <v>1</v>
      </c>
      <c r="M124" s="5" t="s">
        <v>35</v>
      </c>
      <c r="N124" s="5" t="str">
        <f aca="false">TRIM($A124&amp;" "&amp;IF($C124="",$R124,$C124&amp;" "&amp;$D124&amp;" "&amp;$E124&amp;" "&amp;$F124))</f>
        <v>Jacks Wine and Spirits 3560 N Maize Rd Wichita KS 67205</v>
      </c>
      <c r="O124" s="5" t="str">
        <f aca="false">IF($P124&lt;&gt;"","Exclude",IF(AND($M124&lt;&gt;"Full address",$R124=""),"Needs address",IF($J124&lt;0.5,"Hold - low volume",IF(LEFT($W124,3)="Low","Verify address",IF($G124="Needs review","Needs premise review",IF($X124="Estimated","Ready - address estimated","Ready"))))))</f>
        <v>Ready</v>
      </c>
      <c r="P124" s="5"/>
      <c r="Q124" s="5" t="s">
        <v>488</v>
      </c>
      <c r="R124" s="5"/>
      <c r="S124" s="5"/>
      <c r="T124" s="7"/>
      <c r="U124" s="7"/>
      <c r="V124" s="5"/>
      <c r="W124" s="5"/>
      <c r="X124" s="5" t="s">
        <v>37</v>
      </c>
      <c r="Y124" s="8" t="str">
        <f aca="false">IF($C124&lt;&gt;"",TRIM($C124&amp;", "&amp;$D124&amp;", "&amp;$E124&amp;" "&amp;$F124),IF($R124&lt;&gt;"",$R124,IF($D124&lt;&gt;"",$D124&amp;", "&amp;$E124,$I124)))</f>
        <v>3560 N Maize Rd, Wichita, KS 67205</v>
      </c>
    </row>
    <row r="125" customFormat="false" ht="15" hidden="false" customHeight="true" outlineLevel="0" collapsed="false">
      <c r="A125" s="5" t="s">
        <v>647</v>
      </c>
      <c r="B125" s="5" t="s">
        <v>648</v>
      </c>
      <c r="C125" s="5" t="s">
        <v>649</v>
      </c>
      <c r="D125" s="5" t="s">
        <v>58</v>
      </c>
      <c r="E125" s="5" t="s">
        <v>59</v>
      </c>
      <c r="F125" s="5" t="s">
        <v>650</v>
      </c>
      <c r="G125" s="5" t="s">
        <v>31</v>
      </c>
      <c r="H125" s="5" t="s">
        <v>61</v>
      </c>
      <c r="I125" s="5" t="s">
        <v>62</v>
      </c>
      <c r="J125" s="6" t="n">
        <v>2</v>
      </c>
      <c r="K125" s="5" t="s">
        <v>63</v>
      </c>
      <c r="L125" s="5" t="n">
        <f aca="false">IF($K125="",0,LEN($K125)-LEN(SUBSTITUTE($K125,",",""))+1)</f>
        <v>2</v>
      </c>
      <c r="M125" s="5" t="s">
        <v>35</v>
      </c>
      <c r="N125" s="5" t="str">
        <f aca="false">TRIM($A125&amp;" "&amp;IF($C125="",$R125,$C125&amp;" "&amp;$D125&amp;" "&amp;$E125&amp;" "&amp;$F125))</f>
        <v>Craft-Y Beer Wine &amp; Liquor 24300 E Smoky Hill Rd #108 Aurora CO 80016</v>
      </c>
      <c r="O125" s="5" t="str">
        <f aca="false">IF($P125&lt;&gt;"","Exclude",IF(AND($M125&lt;&gt;"Full address",$R125=""),"Needs address",IF($J125&lt;0.5,"Hold - low volume",IF(LEFT($W125,3)="Low","Verify address",IF($G125="Needs review","Needs premise review",IF($X125="Estimated","Ready - address estimated","Ready"))))))</f>
        <v>Ready</v>
      </c>
      <c r="P125" s="5"/>
      <c r="Q125" s="5" t="s">
        <v>64</v>
      </c>
      <c r="R125" s="5"/>
      <c r="S125" s="5"/>
      <c r="T125" s="7"/>
      <c r="U125" s="7"/>
      <c r="V125" s="5"/>
      <c r="W125" s="5"/>
      <c r="X125" s="5" t="s">
        <v>37</v>
      </c>
      <c r="Y125" s="8" t="str">
        <f aca="false">IF($C125&lt;&gt;"",TRIM($C125&amp;", "&amp;$D125&amp;", "&amp;$E125&amp;" "&amp;$F125),IF($R125&lt;&gt;"",$R125,IF($D125&lt;&gt;"",$D125&amp;", "&amp;$E125,$I125)))</f>
        <v>24300 E Smoky Hill Rd #108, Aurora, CO 80016</v>
      </c>
    </row>
    <row r="126" customFormat="false" ht="15" hidden="false" customHeight="true" outlineLevel="0" collapsed="false">
      <c r="A126" s="5" t="s">
        <v>651</v>
      </c>
      <c r="B126" s="5" t="s">
        <v>652</v>
      </c>
      <c r="C126" s="5" t="s">
        <v>653</v>
      </c>
      <c r="D126" s="5" t="s">
        <v>654</v>
      </c>
      <c r="E126" s="5" t="s">
        <v>59</v>
      </c>
      <c r="F126" s="5" t="s">
        <v>655</v>
      </c>
      <c r="G126" s="5" t="s">
        <v>31</v>
      </c>
      <c r="H126" s="5" t="s">
        <v>61</v>
      </c>
      <c r="I126" s="5" t="s">
        <v>62</v>
      </c>
      <c r="J126" s="6" t="n">
        <v>2</v>
      </c>
      <c r="K126" s="5" t="s">
        <v>76</v>
      </c>
      <c r="L126" s="5" t="n">
        <f aca="false">IF($K126="",0,LEN($K126)-LEN(SUBSTITUTE($K126,",",""))+1)</f>
        <v>1</v>
      </c>
      <c r="M126" s="5" t="s">
        <v>35</v>
      </c>
      <c r="N126" s="5" t="str">
        <f aca="false">TRIM($A126&amp;" "&amp;IF($C126="",$R126,$C126&amp;" "&amp;$D126&amp;" "&amp;$E126&amp;" "&amp;$F126))</f>
        <v>Rock Creek Liquor 1697 Coalton Rd Unit # C Superior CO 80027</v>
      </c>
      <c r="O126" s="5" t="str">
        <f aca="false">IF($P126&lt;&gt;"","Exclude",IF(AND($M126&lt;&gt;"Full address",$R126=""),"Needs address",IF($J126&lt;0.5,"Hold - low volume",IF(LEFT($W126,3)="Low","Verify address",IF($G126="Needs review","Needs premise review",IF($X126="Estimated","Ready - address estimated","Ready"))))))</f>
        <v>Ready</v>
      </c>
      <c r="P126" s="5"/>
      <c r="Q126" s="5" t="s">
        <v>64</v>
      </c>
      <c r="R126" s="5"/>
      <c r="S126" s="5"/>
      <c r="T126" s="7"/>
      <c r="U126" s="7"/>
      <c r="V126" s="5"/>
      <c r="W126" s="5"/>
      <c r="X126" s="5" t="s">
        <v>37</v>
      </c>
      <c r="Y126" s="8" t="str">
        <f aca="false">IF($C126&lt;&gt;"",TRIM($C126&amp;", "&amp;$D126&amp;", "&amp;$E126&amp;" "&amp;$F126),IF($R126&lt;&gt;"",$R126,IF($D126&lt;&gt;"",$D126&amp;", "&amp;$E126,$I126)))</f>
        <v>1697 Coalton Rd Unit # C, Superior, CO 80027</v>
      </c>
    </row>
    <row r="127" customFormat="false" ht="15" hidden="false" customHeight="true" outlineLevel="0" collapsed="false">
      <c r="A127" s="5" t="s">
        <v>656</v>
      </c>
      <c r="B127" s="5" t="s">
        <v>657</v>
      </c>
      <c r="C127" s="5" t="s">
        <v>658</v>
      </c>
      <c r="D127" s="5" t="s">
        <v>659</v>
      </c>
      <c r="E127" s="5" t="s">
        <v>59</v>
      </c>
      <c r="F127" s="5" t="s">
        <v>660</v>
      </c>
      <c r="G127" s="5" t="s">
        <v>144</v>
      </c>
      <c r="H127" s="5" t="s">
        <v>280</v>
      </c>
      <c r="I127" s="5" t="s">
        <v>62</v>
      </c>
      <c r="J127" s="6" t="n">
        <v>2</v>
      </c>
      <c r="K127" s="5" t="s">
        <v>76</v>
      </c>
      <c r="L127" s="5" t="n">
        <f aca="false">IF($K127="",0,LEN($K127)-LEN(SUBSTITUTE($K127,",",""))+1)</f>
        <v>1</v>
      </c>
      <c r="M127" s="5" t="s">
        <v>35</v>
      </c>
      <c r="N127" s="5" t="str">
        <f aca="false">TRIM($A127&amp;" "&amp;IF($C127="",$R127,$C127&amp;" "&amp;$D127&amp;" "&amp;$E127&amp;" "&amp;$F127))</f>
        <v>The Pondy 220 W Main St Cedaredge CO 81413</v>
      </c>
      <c r="O127" s="5" t="str">
        <f aca="false">IF($P127&lt;&gt;"","Exclude",IF(AND($M127&lt;&gt;"Full address",$R127=""),"Needs address",IF($J127&lt;0.5,"Hold - low volume",IF(LEFT($W127,3)="Low","Verify address",IF($G127="Needs review","Needs premise review",IF($X127="Estimated","Ready - address estimated","Ready"))))))</f>
        <v>Needs premise review</v>
      </c>
      <c r="P127" s="5"/>
      <c r="Q127" s="5" t="s">
        <v>64</v>
      </c>
      <c r="R127" s="5"/>
      <c r="S127" s="5"/>
      <c r="T127" s="7"/>
      <c r="U127" s="7"/>
      <c r="V127" s="5"/>
      <c r="W127" s="5"/>
      <c r="X127" s="5" t="s">
        <v>37</v>
      </c>
      <c r="Y127" s="8" t="str">
        <f aca="false">IF($C127&lt;&gt;"",TRIM($C127&amp;", "&amp;$D127&amp;", "&amp;$E127&amp;" "&amp;$F127),IF($R127&lt;&gt;"",$R127,IF($D127&lt;&gt;"",$D127&amp;", "&amp;$E127,$I127)))</f>
        <v>220 W Main St, Cedaredge, CO 81413</v>
      </c>
    </row>
    <row r="128" customFormat="false" ht="15" hidden="false" customHeight="true" outlineLevel="0" collapsed="false">
      <c r="A128" s="5" t="s">
        <v>661</v>
      </c>
      <c r="B128" s="5" t="s">
        <v>661</v>
      </c>
      <c r="C128" s="5"/>
      <c r="D128" s="5" t="s">
        <v>662</v>
      </c>
      <c r="E128" s="5" t="s">
        <v>182</v>
      </c>
      <c r="F128" s="5"/>
      <c r="G128" s="5" t="s">
        <v>31</v>
      </c>
      <c r="H128" s="5" t="s">
        <v>183</v>
      </c>
      <c r="I128" s="5" t="s">
        <v>184</v>
      </c>
      <c r="J128" s="6" t="n">
        <v>2</v>
      </c>
      <c r="K128" s="5" t="s">
        <v>63</v>
      </c>
      <c r="L128" s="5" t="n">
        <f aca="false">IF($K128="",0,LEN($K128)-LEN(SUBSTITUTE($K128,",",""))+1)</f>
        <v>2</v>
      </c>
      <c r="M128" s="5" t="s">
        <v>44</v>
      </c>
      <c r="N128" s="5" t="str">
        <f aca="false">TRIM($A128&amp;" "&amp;IF($C128="",$R128,$C128&amp;" "&amp;$D128&amp;" "&amp;$E128&amp;" "&amp;$F128))</f>
        <v>Arcadia Discount Liquors 2009 FL-70, Arcadia, FL 34266</v>
      </c>
      <c r="O128" s="5" t="str">
        <f aca="false">IF($P128&lt;&gt;"","Exclude",IF(AND($M128&lt;&gt;"Full address",$R128=""),"Needs address",IF($J128&lt;0.5,"Hold - low volume",IF(LEFT($W128,3)="Low","Verify address",IF($G128="Needs review","Needs premise review",IF($X128="Estimated","Ready - address estimated","Ready"))))))</f>
        <v>Ready - address estimated</v>
      </c>
      <c r="P128" s="5"/>
      <c r="Q128" s="5" t="s">
        <v>185</v>
      </c>
      <c r="R128" s="5" t="s">
        <v>663</v>
      </c>
      <c r="S128" s="5" t="s">
        <v>664</v>
      </c>
      <c r="T128" s="7" t="n">
        <v>27.2087967</v>
      </c>
      <c r="U128" s="7" t="n">
        <v>-81.840823</v>
      </c>
      <c r="V128" s="5" t="s">
        <v>665</v>
      </c>
      <c r="W128" s="5" t="s">
        <v>154</v>
      </c>
      <c r="X128" s="5" t="s">
        <v>50</v>
      </c>
      <c r="Y128" s="8" t="str">
        <f aca="false">IF($C128&lt;&gt;"",TRIM($C128&amp;", "&amp;$D128&amp;", "&amp;$E128&amp;" "&amp;$F128),IF($R128&lt;&gt;"",$R128,IF($D128&lt;&gt;"",$D128&amp;", "&amp;$E128,$I128)))</f>
        <v>2009 FL-70, Arcadia, FL 34266</v>
      </c>
    </row>
    <row r="129" customFormat="false" ht="15" hidden="false" customHeight="true" outlineLevel="0" collapsed="false">
      <c r="A129" s="5" t="s">
        <v>666</v>
      </c>
      <c r="B129" s="5" t="s">
        <v>667</v>
      </c>
      <c r="C129" s="5" t="s">
        <v>668</v>
      </c>
      <c r="D129" s="5" t="s">
        <v>669</v>
      </c>
      <c r="E129" s="5" t="s">
        <v>29</v>
      </c>
      <c r="F129" s="5" t="s">
        <v>670</v>
      </c>
      <c r="G129" s="5" t="s">
        <v>31</v>
      </c>
      <c r="H129" s="5" t="s">
        <v>32</v>
      </c>
      <c r="I129" s="5" t="s">
        <v>33</v>
      </c>
      <c r="J129" s="6" t="n">
        <v>2</v>
      </c>
      <c r="K129" s="5" t="s">
        <v>414</v>
      </c>
      <c r="L129" s="5" t="n">
        <f aca="false">IF($K129="",0,LEN($K129)-LEN(SUBSTITUTE($K129,",",""))+1)</f>
        <v>2</v>
      </c>
      <c r="M129" s="5" t="s">
        <v>35</v>
      </c>
      <c r="N129" s="5" t="str">
        <f aca="false">TRIM($A129&amp;" "&amp;IF($C129="",$R129,$C129&amp;" "&amp;$D129&amp;" "&amp;$E129&amp;" "&amp;$F129))</f>
        <v>41 Super Store 1214 JOE FRANK HARRIS PARKWAY Cartersville GA 30120</v>
      </c>
      <c r="O129" s="5" t="str">
        <f aca="false">IF($P129&lt;&gt;"","Exclude",IF(AND($M129&lt;&gt;"Full address",$R129=""),"Needs address",IF($J129&lt;0.5,"Hold - low volume",IF(LEFT($W129,3)="Low","Verify address",IF($G129="Needs review","Needs premise review",IF($X129="Estimated","Ready - address estimated","Ready"))))))</f>
        <v>Ready</v>
      </c>
      <c r="P129" s="5"/>
      <c r="Q129" s="5" t="s">
        <v>36</v>
      </c>
      <c r="R129" s="5"/>
      <c r="S129" s="5"/>
      <c r="T129" s="7"/>
      <c r="U129" s="7"/>
      <c r="V129" s="5"/>
      <c r="W129" s="5"/>
      <c r="X129" s="5" t="s">
        <v>37</v>
      </c>
      <c r="Y129" s="8" t="str">
        <f aca="false">IF($C129&lt;&gt;"",TRIM($C129&amp;", "&amp;$D129&amp;", "&amp;$E129&amp;" "&amp;$F129),IF($R129&lt;&gt;"",$R129,IF($D129&lt;&gt;"",$D129&amp;", "&amp;$E129,$I129)))</f>
        <v>1214 JOE FRANK HARRIS PARKWAY, Cartersville, GA 30120</v>
      </c>
    </row>
    <row r="130" customFormat="false" ht="15" hidden="false" customHeight="true" outlineLevel="0" collapsed="false">
      <c r="A130" s="5" t="s">
        <v>671</v>
      </c>
      <c r="B130" s="5" t="s">
        <v>672</v>
      </c>
      <c r="C130" s="5" t="s">
        <v>673</v>
      </c>
      <c r="D130" s="5" t="s">
        <v>674</v>
      </c>
      <c r="E130" s="5" t="s">
        <v>29</v>
      </c>
      <c r="F130" s="5" t="s">
        <v>675</v>
      </c>
      <c r="G130" s="5" t="s">
        <v>31</v>
      </c>
      <c r="H130" s="5" t="s">
        <v>32</v>
      </c>
      <c r="I130" s="5" t="s">
        <v>33</v>
      </c>
      <c r="J130" s="6" t="n">
        <v>2</v>
      </c>
      <c r="K130" s="5" t="s">
        <v>63</v>
      </c>
      <c r="L130" s="5" t="n">
        <f aca="false">IF($K130="",0,LEN($K130)-LEN(SUBSTITUTE($K130,",",""))+1)</f>
        <v>2</v>
      </c>
      <c r="M130" s="5" t="s">
        <v>35</v>
      </c>
      <c r="N130" s="5" t="str">
        <f aca="false">TRIM($A130&amp;" "&amp;IF($C130="",$R130,$C130&amp;" "&amp;$D130&amp;" "&amp;$E130&amp;" "&amp;$F130))</f>
        <v>Beer &amp; Wine Package store 5039 BUFORD HWY Chamblee GA 30341</v>
      </c>
      <c r="O130" s="5" t="str">
        <f aca="false">IF($P130&lt;&gt;"","Exclude",IF(AND($M130&lt;&gt;"Full address",$R130=""),"Needs address",IF($J130&lt;0.5,"Hold - low volume",IF(LEFT($W130,3)="Low","Verify address",IF($G130="Needs review","Needs premise review",IF($X130="Estimated","Ready - address estimated","Ready"))))))</f>
        <v>Ready</v>
      </c>
      <c r="P130" s="5"/>
      <c r="Q130" s="5" t="s">
        <v>36</v>
      </c>
      <c r="R130" s="5"/>
      <c r="S130" s="5"/>
      <c r="T130" s="7"/>
      <c r="U130" s="7"/>
      <c r="V130" s="5"/>
      <c r="W130" s="5"/>
      <c r="X130" s="5" t="s">
        <v>37</v>
      </c>
      <c r="Y130" s="8" t="str">
        <f aca="false">IF($C130&lt;&gt;"",TRIM($C130&amp;", "&amp;$D130&amp;", "&amp;$E130&amp;" "&amp;$F130),IF($R130&lt;&gt;"",$R130,IF($D130&lt;&gt;"",$D130&amp;", "&amp;$E130,$I130)))</f>
        <v>5039 BUFORD HWY, Chamblee, GA 30341</v>
      </c>
    </row>
    <row r="131" customFormat="false" ht="15" hidden="false" customHeight="true" outlineLevel="0" collapsed="false">
      <c r="A131" s="5" t="s">
        <v>676</v>
      </c>
      <c r="B131" s="5" t="s">
        <v>676</v>
      </c>
      <c r="C131" s="5" t="s">
        <v>677</v>
      </c>
      <c r="D131" s="5" t="s">
        <v>120</v>
      </c>
      <c r="E131" s="5" t="s">
        <v>29</v>
      </c>
      <c r="F131" s="5" t="s">
        <v>479</v>
      </c>
      <c r="G131" s="5" t="s">
        <v>31</v>
      </c>
      <c r="H131" s="5" t="s">
        <v>32</v>
      </c>
      <c r="I131" s="5" t="s">
        <v>33</v>
      </c>
      <c r="J131" s="6" t="n">
        <v>2</v>
      </c>
      <c r="K131" s="5" t="s">
        <v>395</v>
      </c>
      <c r="L131" s="5" t="n">
        <f aca="false">IF($K131="",0,LEN($K131)-LEN(SUBSTITUTE($K131,",",""))+1)</f>
        <v>2</v>
      </c>
      <c r="M131" s="5" t="s">
        <v>35</v>
      </c>
      <c r="N131" s="5" t="str">
        <f aca="false">TRIM($A131&amp;" "&amp;IF($C131="",$R131,$C131&amp;" "&amp;$D131&amp;" "&amp;$E131&amp;" "&amp;$F131))</f>
        <v>Beverage World - Doraville wine, beer &amp; spirits - 6731 Peachtree Industrial Blvd Atlanta GA 30360</v>
      </c>
      <c r="O131" s="5" t="str">
        <f aca="false">IF($P131&lt;&gt;"","Exclude",IF(AND($M131&lt;&gt;"Full address",$R131=""),"Needs address",IF($J131&lt;0.5,"Hold - low volume",IF(LEFT($W131,3)="Low","Verify address",IF($G131="Needs review","Needs premise review",IF($X131="Estimated","Ready - address estimated","Ready"))))))</f>
        <v>Ready</v>
      </c>
      <c r="P131" s="5"/>
      <c r="Q131" s="5" t="s">
        <v>36</v>
      </c>
      <c r="R131" s="5"/>
      <c r="S131" s="5"/>
      <c r="T131" s="7"/>
      <c r="U131" s="7"/>
      <c r="V131" s="5"/>
      <c r="W131" s="5"/>
      <c r="X131" s="5" t="s">
        <v>37</v>
      </c>
      <c r="Y131" s="8" t="str">
        <f aca="false">IF($C131&lt;&gt;"",TRIM($C131&amp;", "&amp;$D131&amp;", "&amp;$E131&amp;" "&amp;$F131),IF($R131&lt;&gt;"",$R131,IF($D131&lt;&gt;"",$D131&amp;", "&amp;$E131,$I131)))</f>
        <v>6731 Peachtree Industrial Blvd, Atlanta, GA 30360</v>
      </c>
    </row>
    <row r="132" customFormat="false" ht="15" hidden="false" customHeight="true" outlineLevel="0" collapsed="false">
      <c r="A132" s="5" t="s">
        <v>678</v>
      </c>
      <c r="B132" s="5" t="s">
        <v>679</v>
      </c>
      <c r="C132" s="5" t="s">
        <v>680</v>
      </c>
      <c r="D132" s="5" t="s">
        <v>478</v>
      </c>
      <c r="E132" s="5" t="s">
        <v>29</v>
      </c>
      <c r="F132" s="5" t="s">
        <v>681</v>
      </c>
      <c r="G132" s="5" t="s">
        <v>31</v>
      </c>
      <c r="H132" s="5" t="s">
        <v>32</v>
      </c>
      <c r="I132" s="5" t="s">
        <v>33</v>
      </c>
      <c r="J132" s="6" t="n">
        <v>2</v>
      </c>
      <c r="K132" s="5" t="s">
        <v>63</v>
      </c>
      <c r="L132" s="5" t="n">
        <f aca="false">IF($K132="",0,LEN($K132)-LEN(SUBSTITUTE($K132,",",""))+1)</f>
        <v>2</v>
      </c>
      <c r="M132" s="5" t="s">
        <v>35</v>
      </c>
      <c r="N132" s="5" t="str">
        <f aca="false">TRIM($A132&amp;" "&amp;IF($C132="",$R132,$C132&amp;" "&amp;$D132&amp;" "&amp;$E132&amp;" "&amp;$F132))</f>
        <v>Dunwoody World Of Beverages 4621 N. SHALLOWFORD RD. Dunwoody GA 30338</v>
      </c>
      <c r="O132" s="5" t="str">
        <f aca="false">IF($P132&lt;&gt;"","Exclude",IF(AND($M132&lt;&gt;"Full address",$R132=""),"Needs address",IF($J132&lt;0.5,"Hold - low volume",IF(LEFT($W132,3)="Low","Verify address",IF($G132="Needs review","Needs premise review",IF($X132="Estimated","Ready - address estimated","Ready"))))))</f>
        <v>Ready</v>
      </c>
      <c r="P132" s="5"/>
      <c r="Q132" s="5" t="s">
        <v>36</v>
      </c>
      <c r="R132" s="5"/>
      <c r="S132" s="5"/>
      <c r="T132" s="7"/>
      <c r="U132" s="7"/>
      <c r="V132" s="5"/>
      <c r="W132" s="5"/>
      <c r="X132" s="5" t="s">
        <v>37</v>
      </c>
      <c r="Y132" s="8" t="str">
        <f aca="false">IF($C132&lt;&gt;"",TRIM($C132&amp;", "&amp;$D132&amp;", "&amp;$E132&amp;" "&amp;$F132),IF($R132&lt;&gt;"",$R132,IF($D132&lt;&gt;"",$D132&amp;", "&amp;$E132,$I132)))</f>
        <v>4621 N. SHALLOWFORD RD., Dunwoody, GA 30338</v>
      </c>
    </row>
    <row r="133" customFormat="false" ht="15" hidden="false" customHeight="true" outlineLevel="0" collapsed="false">
      <c r="A133" s="5" t="s">
        <v>682</v>
      </c>
      <c r="B133" s="5" t="s">
        <v>683</v>
      </c>
      <c r="C133" s="5" t="s">
        <v>684</v>
      </c>
      <c r="D133" s="5" t="s">
        <v>685</v>
      </c>
      <c r="E133" s="5" t="s">
        <v>29</v>
      </c>
      <c r="F133" s="5" t="s">
        <v>686</v>
      </c>
      <c r="G133" s="5" t="s">
        <v>377</v>
      </c>
      <c r="H133" s="5" t="s">
        <v>32</v>
      </c>
      <c r="I133" s="5" t="s">
        <v>33</v>
      </c>
      <c r="J133" s="6" t="n">
        <v>2</v>
      </c>
      <c r="K133" s="5" t="s">
        <v>76</v>
      </c>
      <c r="L133" s="5" t="n">
        <f aca="false">IF($K133="",0,LEN($K133)-LEN(SUBSTITUTE($K133,",",""))+1)</f>
        <v>1</v>
      </c>
      <c r="M133" s="5" t="s">
        <v>35</v>
      </c>
      <c r="N133" s="5" t="str">
        <f aca="false">TRIM($A133&amp;" "&amp;IF($C133="",$R133,$C133&amp;" "&amp;$D133&amp;" "&amp;$E133&amp;" "&amp;$F133))</f>
        <v>Fuego Mexican Grill &amp; Tequila Bar 60 N Gate Station Marble Hill GA 30184</v>
      </c>
      <c r="O133" s="5" t="str">
        <f aca="false">IF($P133&lt;&gt;"","Exclude",IF(AND($M133&lt;&gt;"Full address",$R133=""),"Needs address",IF($J133&lt;0.5,"Hold - low volume",IF(LEFT($W133,3)="Low","Verify address",IF($G133="Needs review","Needs premise review",IF($X133="Estimated","Ready - address estimated","Ready"))))))</f>
        <v>Ready</v>
      </c>
      <c r="P133" s="5"/>
      <c r="Q133" s="5" t="s">
        <v>36</v>
      </c>
      <c r="R133" s="5"/>
      <c r="S133" s="5"/>
      <c r="T133" s="7"/>
      <c r="U133" s="7"/>
      <c r="V133" s="5"/>
      <c r="W133" s="5"/>
      <c r="X133" s="5" t="s">
        <v>37</v>
      </c>
      <c r="Y133" s="8" t="str">
        <f aca="false">IF($C133&lt;&gt;"",TRIM($C133&amp;", "&amp;$D133&amp;", "&amp;$E133&amp;" "&amp;$F133),IF($R133&lt;&gt;"",$R133,IF($D133&lt;&gt;"",$D133&amp;", "&amp;$E133,$I133)))</f>
        <v>60 N Gate Station, Marble Hill, GA 30184</v>
      </c>
    </row>
    <row r="134" customFormat="false" ht="15" hidden="false" customHeight="true" outlineLevel="0" collapsed="false">
      <c r="A134" s="5" t="s">
        <v>687</v>
      </c>
      <c r="B134" s="5" t="s">
        <v>688</v>
      </c>
      <c r="C134" s="5" t="s">
        <v>689</v>
      </c>
      <c r="D134" s="5" t="s">
        <v>690</v>
      </c>
      <c r="E134" s="5" t="s">
        <v>29</v>
      </c>
      <c r="F134" s="5" t="s">
        <v>691</v>
      </c>
      <c r="G134" s="5" t="s">
        <v>31</v>
      </c>
      <c r="H134" s="5" t="s">
        <v>32</v>
      </c>
      <c r="I134" s="5" t="s">
        <v>33</v>
      </c>
      <c r="J134" s="6" t="n">
        <v>2</v>
      </c>
      <c r="K134" s="5" t="s">
        <v>414</v>
      </c>
      <c r="L134" s="5" t="n">
        <f aca="false">IF($K134="",0,LEN($K134)-LEN(SUBSTITUTE($K134,",",""))+1)</f>
        <v>2</v>
      </c>
      <c r="M134" s="5" t="s">
        <v>35</v>
      </c>
      <c r="N134" s="5" t="str">
        <f aca="false">TRIM($A134&amp;" "&amp;IF($C134="",$R134,$C134&amp;" "&amp;$D134&amp;" "&amp;$E134&amp;" "&amp;$F134))</f>
        <v>Gwinnett Package 3142 Hill St NW Duluth GA 30096</v>
      </c>
      <c r="O134" s="5" t="str">
        <f aca="false">IF($P134&lt;&gt;"","Exclude",IF(AND($M134&lt;&gt;"Full address",$R134=""),"Needs address",IF($J134&lt;0.5,"Hold - low volume",IF(LEFT($W134,3)="Low","Verify address",IF($G134="Needs review","Needs premise review",IF($X134="Estimated","Ready - address estimated","Ready"))))))</f>
        <v>Ready</v>
      </c>
      <c r="P134" s="5"/>
      <c r="Q134" s="5" t="s">
        <v>36</v>
      </c>
      <c r="R134" s="5"/>
      <c r="S134" s="5"/>
      <c r="T134" s="7"/>
      <c r="U134" s="7"/>
      <c r="V134" s="5"/>
      <c r="W134" s="5"/>
      <c r="X134" s="5" t="s">
        <v>37</v>
      </c>
      <c r="Y134" s="8" t="str">
        <f aca="false">IF($C134&lt;&gt;"",TRIM($C134&amp;", "&amp;$D134&amp;", "&amp;$E134&amp;" "&amp;$F134),IF($R134&lt;&gt;"",$R134,IF($D134&lt;&gt;"",$D134&amp;", "&amp;$E134,$I134)))</f>
        <v>3142 Hill St NW, Duluth, GA 30096</v>
      </c>
    </row>
    <row r="135" customFormat="false" ht="15" hidden="false" customHeight="true" outlineLevel="0" collapsed="false">
      <c r="A135" s="5" t="s">
        <v>692</v>
      </c>
      <c r="B135" s="5" t="s">
        <v>693</v>
      </c>
      <c r="C135" s="5" t="s">
        <v>694</v>
      </c>
      <c r="D135" s="5" t="s">
        <v>695</v>
      </c>
      <c r="E135" s="5" t="s">
        <v>29</v>
      </c>
      <c r="F135" s="5" t="s">
        <v>696</v>
      </c>
      <c r="G135" s="5" t="s">
        <v>31</v>
      </c>
      <c r="H135" s="5" t="s">
        <v>32</v>
      </c>
      <c r="I135" s="5" t="s">
        <v>33</v>
      </c>
      <c r="J135" s="6" t="n">
        <v>2</v>
      </c>
      <c r="K135" s="5" t="s">
        <v>76</v>
      </c>
      <c r="L135" s="5" t="n">
        <f aca="false">IF($K135="",0,LEN($K135)-LEN(SUBSTITUTE($K135,",",""))+1)</f>
        <v>1</v>
      </c>
      <c r="M135" s="5" t="s">
        <v>35</v>
      </c>
      <c r="N135" s="5" t="str">
        <f aca="false">TRIM($A135&amp;" "&amp;IF($C135="",$R135,$C135&amp;" "&amp;$D135&amp;" "&amp;$E135&amp;" "&amp;$F135))</f>
        <v>JAX Beverage Superstore 2438 Hancock Dr Buford GA 30519</v>
      </c>
      <c r="O135" s="5" t="str">
        <f aca="false">IF($P135&lt;&gt;"","Exclude",IF(AND($M135&lt;&gt;"Full address",$R135=""),"Needs address",IF($J135&lt;0.5,"Hold - low volume",IF(LEFT($W135,3)="Low","Verify address",IF($G135="Needs review","Needs premise review",IF($X135="Estimated","Ready - address estimated","Ready"))))))</f>
        <v>Ready</v>
      </c>
      <c r="P135" s="5"/>
      <c r="Q135" s="5" t="s">
        <v>36</v>
      </c>
      <c r="R135" s="5"/>
      <c r="S135" s="5"/>
      <c r="T135" s="7"/>
      <c r="U135" s="7"/>
      <c r="V135" s="5"/>
      <c r="W135" s="5"/>
      <c r="X135" s="5" t="s">
        <v>37</v>
      </c>
      <c r="Y135" s="8" t="str">
        <f aca="false">IF($C135&lt;&gt;"",TRIM($C135&amp;", "&amp;$D135&amp;", "&amp;$E135&amp;" "&amp;$F135),IF($R135&lt;&gt;"",$R135,IF($D135&lt;&gt;"",$D135&amp;", "&amp;$E135,$I135)))</f>
        <v>2438 Hancock Dr, Buford, GA 30519</v>
      </c>
    </row>
    <row r="136" customFormat="false" ht="15" hidden="false" customHeight="true" outlineLevel="0" collapsed="false">
      <c r="A136" s="5" t="s">
        <v>697</v>
      </c>
      <c r="B136" s="5" t="s">
        <v>698</v>
      </c>
      <c r="C136" s="5" t="s">
        <v>699</v>
      </c>
      <c r="D136" s="5" t="s">
        <v>700</v>
      </c>
      <c r="E136" s="5" t="s">
        <v>29</v>
      </c>
      <c r="F136" s="5" t="s">
        <v>701</v>
      </c>
      <c r="G136" s="5" t="s">
        <v>31</v>
      </c>
      <c r="H136" s="5" t="s">
        <v>437</v>
      </c>
      <c r="I136" s="5" t="s">
        <v>33</v>
      </c>
      <c r="J136" s="6" t="n">
        <v>2</v>
      </c>
      <c r="K136" s="5" t="s">
        <v>395</v>
      </c>
      <c r="L136" s="5" t="n">
        <f aca="false">IF($K136="",0,LEN($K136)-LEN(SUBSTITUTE($K136,",",""))+1)</f>
        <v>2</v>
      </c>
      <c r="M136" s="5" t="s">
        <v>35</v>
      </c>
      <c r="N136" s="5" t="str">
        <f aca="false">TRIM($A136&amp;" "&amp;IF($C136="",$R136,$C136&amp;" "&amp;$D136&amp;" "&amp;$E136&amp;" "&amp;$F136))</f>
        <v>Jeff's Super Beverage 10060 FORD AVENUE, SUITE N Richmond Hill GA 31324</v>
      </c>
      <c r="O136" s="5" t="str">
        <f aca="false">IF($P136&lt;&gt;"","Exclude",IF(AND($M136&lt;&gt;"Full address",$R136=""),"Needs address",IF($J136&lt;0.5,"Hold - low volume",IF(LEFT($W136,3)="Low","Verify address",IF($G136="Needs review","Needs premise review",IF($X136="Estimated","Ready - address estimated","Ready"))))))</f>
        <v>Ready</v>
      </c>
      <c r="P136" s="5"/>
      <c r="Q136" s="5" t="s">
        <v>36</v>
      </c>
      <c r="R136" s="5"/>
      <c r="S136" s="5"/>
      <c r="T136" s="7"/>
      <c r="U136" s="7"/>
      <c r="V136" s="5"/>
      <c r="W136" s="5"/>
      <c r="X136" s="5" t="s">
        <v>37</v>
      </c>
      <c r="Y136" s="8" t="str">
        <f aca="false">IF($C136&lt;&gt;"",TRIM($C136&amp;", "&amp;$D136&amp;", "&amp;$E136&amp;" "&amp;$F136),IF($R136&lt;&gt;"",$R136,IF($D136&lt;&gt;"",$D136&amp;", "&amp;$E136,$I136)))</f>
        <v>10060 FORD AVENUE, SUITE N, Richmond Hill, GA 31324</v>
      </c>
    </row>
    <row r="137" customFormat="false" ht="15" hidden="false" customHeight="true" outlineLevel="0" collapsed="false">
      <c r="A137" s="5" t="s">
        <v>702</v>
      </c>
      <c r="B137" s="5" t="s">
        <v>703</v>
      </c>
      <c r="C137" s="5" t="s">
        <v>704</v>
      </c>
      <c r="D137" s="5" t="s">
        <v>178</v>
      </c>
      <c r="E137" s="5" t="s">
        <v>29</v>
      </c>
      <c r="F137" s="5" t="s">
        <v>705</v>
      </c>
      <c r="G137" s="5" t="s">
        <v>31</v>
      </c>
      <c r="H137" s="5" t="s">
        <v>32</v>
      </c>
      <c r="I137" s="5" t="s">
        <v>33</v>
      </c>
      <c r="J137" s="6" t="n">
        <v>2</v>
      </c>
      <c r="K137" s="5" t="s">
        <v>63</v>
      </c>
      <c r="L137" s="5" t="n">
        <f aca="false">IF($K137="",0,LEN($K137)-LEN(SUBSTITUTE($K137,",",""))+1)</f>
        <v>2</v>
      </c>
      <c r="M137" s="5" t="s">
        <v>35</v>
      </c>
      <c r="N137" s="5" t="str">
        <f aca="false">TRIM($A137&amp;" "&amp;IF($C137="",$R137,$C137&amp;" "&amp;$D137&amp;" "&amp;$E137&amp;" "&amp;$F137))</f>
        <v>Metro Liquor 1200 Ernest W Barrett Pkwy NW Kennesaw GA 30144</v>
      </c>
      <c r="O137" s="5" t="str">
        <f aca="false">IF($P137&lt;&gt;"","Exclude",IF(AND($M137&lt;&gt;"Full address",$R137=""),"Needs address",IF($J137&lt;0.5,"Hold - low volume",IF(LEFT($W137,3)="Low","Verify address",IF($G137="Needs review","Needs premise review",IF($X137="Estimated","Ready - address estimated","Ready"))))))</f>
        <v>Ready</v>
      </c>
      <c r="P137" s="5"/>
      <c r="Q137" s="5" t="s">
        <v>36</v>
      </c>
      <c r="R137" s="5"/>
      <c r="S137" s="5"/>
      <c r="T137" s="7"/>
      <c r="U137" s="7"/>
      <c r="V137" s="5"/>
      <c r="W137" s="5"/>
      <c r="X137" s="5" t="s">
        <v>37</v>
      </c>
      <c r="Y137" s="8" t="str">
        <f aca="false">IF($C137&lt;&gt;"",TRIM($C137&amp;", "&amp;$D137&amp;", "&amp;$E137&amp;" "&amp;$F137),IF($R137&lt;&gt;"",$R137,IF($D137&lt;&gt;"",$D137&amp;", "&amp;$E137,$I137)))</f>
        <v>1200 Ernest W Barrett Pkwy NW, Kennesaw, GA 30144</v>
      </c>
    </row>
    <row r="138" customFormat="false" ht="15" hidden="false" customHeight="true" outlineLevel="0" collapsed="false">
      <c r="A138" s="5" t="s">
        <v>706</v>
      </c>
      <c r="B138" s="5" t="s">
        <v>707</v>
      </c>
      <c r="C138" s="5" t="s">
        <v>708</v>
      </c>
      <c r="D138" s="5" t="s">
        <v>709</v>
      </c>
      <c r="E138" s="5" t="s">
        <v>29</v>
      </c>
      <c r="F138" s="5" t="s">
        <v>710</v>
      </c>
      <c r="G138" s="5" t="s">
        <v>31</v>
      </c>
      <c r="H138" s="5" t="s">
        <v>32</v>
      </c>
      <c r="I138" s="5" t="s">
        <v>33</v>
      </c>
      <c r="J138" s="6" t="n">
        <v>2</v>
      </c>
      <c r="K138" s="5" t="s">
        <v>63</v>
      </c>
      <c r="L138" s="5" t="n">
        <f aca="false">IF($K138="",0,LEN($K138)-LEN(SUBSTITUTE($K138,",",""))+1)</f>
        <v>2</v>
      </c>
      <c r="M138" s="5" t="s">
        <v>35</v>
      </c>
      <c r="N138" s="5" t="str">
        <f aca="false">TRIM($A138&amp;" "&amp;IF($C138="",$R138,$C138&amp;" "&amp;$D138&amp;" "&amp;$E138&amp;" "&amp;$F138))</f>
        <v>Prohibition Liquor and Wine 3150 Highlands Pkwy SE Smyrna GA 30082</v>
      </c>
      <c r="O138" s="5" t="str">
        <f aca="false">IF($P138&lt;&gt;"","Exclude",IF(AND($M138&lt;&gt;"Full address",$R138=""),"Needs address",IF($J138&lt;0.5,"Hold - low volume",IF(LEFT($W138,3)="Low","Verify address",IF($G138="Needs review","Needs premise review",IF($X138="Estimated","Ready - address estimated","Ready"))))))</f>
        <v>Ready</v>
      </c>
      <c r="P138" s="5"/>
      <c r="Q138" s="5" t="s">
        <v>36</v>
      </c>
      <c r="R138" s="5"/>
      <c r="S138" s="5"/>
      <c r="T138" s="7"/>
      <c r="U138" s="7"/>
      <c r="V138" s="5"/>
      <c r="W138" s="5"/>
      <c r="X138" s="5" t="s">
        <v>37</v>
      </c>
      <c r="Y138" s="8" t="str">
        <f aca="false">IF($C138&lt;&gt;"",TRIM($C138&amp;", "&amp;$D138&amp;", "&amp;$E138&amp;" "&amp;$F138),IF($R138&lt;&gt;"",$R138,IF($D138&lt;&gt;"",$D138&amp;", "&amp;$E138,$I138)))</f>
        <v>3150 Highlands Pkwy SE, Smyrna, GA 30082</v>
      </c>
    </row>
    <row r="139" customFormat="false" ht="15" hidden="false" customHeight="true" outlineLevel="0" collapsed="false">
      <c r="A139" s="5" t="s">
        <v>711</v>
      </c>
      <c r="B139" s="5" t="s">
        <v>712</v>
      </c>
      <c r="C139" s="5" t="s">
        <v>713</v>
      </c>
      <c r="D139" s="5" t="s">
        <v>714</v>
      </c>
      <c r="E139" s="5" t="s">
        <v>29</v>
      </c>
      <c r="F139" s="5" t="s">
        <v>715</v>
      </c>
      <c r="G139" s="5" t="s">
        <v>31</v>
      </c>
      <c r="H139" s="5" t="s">
        <v>32</v>
      </c>
      <c r="I139" s="5" t="s">
        <v>33</v>
      </c>
      <c r="J139" s="6" t="n">
        <v>2</v>
      </c>
      <c r="K139" s="5" t="s">
        <v>63</v>
      </c>
      <c r="L139" s="5" t="n">
        <f aca="false">IF($K139="",0,LEN($K139)-LEN(SUBSTITUTE($K139,",",""))+1)</f>
        <v>2</v>
      </c>
      <c r="M139" s="5" t="s">
        <v>35</v>
      </c>
      <c r="N139" s="5" t="str">
        <f aca="false">TRIM($A139&amp;" "&amp;IF($C139="",$R139,$C139&amp;" "&amp;$D139&amp;" "&amp;$E139&amp;" "&amp;$F139))</f>
        <v>Shannon Beverage Warehouse #34 6900 Londonderry Way Union City GA 30291</v>
      </c>
      <c r="O139" s="5" t="str">
        <f aca="false">IF($P139&lt;&gt;"","Exclude",IF(AND($M139&lt;&gt;"Full address",$R139=""),"Needs address",IF($J139&lt;0.5,"Hold - low volume",IF(LEFT($W139,3)="Low","Verify address",IF($G139="Needs review","Needs premise review",IF($X139="Estimated","Ready - address estimated","Ready"))))))</f>
        <v>Ready</v>
      </c>
      <c r="P139" s="5"/>
      <c r="Q139" s="5" t="s">
        <v>36</v>
      </c>
      <c r="R139" s="5"/>
      <c r="S139" s="5"/>
      <c r="T139" s="7"/>
      <c r="U139" s="7"/>
      <c r="V139" s="5"/>
      <c r="W139" s="5"/>
      <c r="X139" s="5" t="s">
        <v>37</v>
      </c>
      <c r="Y139" s="8" t="str">
        <f aca="false">IF($C139&lt;&gt;"",TRIM($C139&amp;", "&amp;$D139&amp;", "&amp;$E139&amp;" "&amp;$F139),IF($R139&lt;&gt;"",$R139,IF($D139&lt;&gt;"",$D139&amp;", "&amp;$E139,$I139)))</f>
        <v>6900 Londonderry Way, Union City, GA 30291</v>
      </c>
    </row>
    <row r="140" customFormat="false" ht="15" hidden="false" customHeight="true" outlineLevel="0" collapsed="false">
      <c r="A140" s="5" t="s">
        <v>716</v>
      </c>
      <c r="B140" s="5" t="s">
        <v>717</v>
      </c>
      <c r="C140" s="5" t="s">
        <v>718</v>
      </c>
      <c r="D140" s="5" t="s">
        <v>709</v>
      </c>
      <c r="E140" s="5" t="s">
        <v>29</v>
      </c>
      <c r="F140" s="5" t="s">
        <v>719</v>
      </c>
      <c r="G140" s="5" t="s">
        <v>31</v>
      </c>
      <c r="H140" s="5" t="s">
        <v>32</v>
      </c>
      <c r="I140" s="5" t="s">
        <v>33</v>
      </c>
      <c r="J140" s="6" t="n">
        <v>2</v>
      </c>
      <c r="K140" s="5" t="s">
        <v>426</v>
      </c>
      <c r="L140" s="5" t="n">
        <f aca="false">IF($K140="",0,LEN($K140)-LEN(SUBSTITUTE($K140,",",""))+1)</f>
        <v>1</v>
      </c>
      <c r="M140" s="5" t="s">
        <v>35</v>
      </c>
      <c r="N140" s="5" t="str">
        <f aca="false">TRIM($A140&amp;" "&amp;IF($C140="",$R140,$C140&amp;" "&amp;$D140&amp;" "&amp;$E140&amp;" "&amp;$F140))</f>
        <v>Smyrna Cobb Package 3181 South Cobb Drive Smyrna GA 30080</v>
      </c>
      <c r="O140" s="5" t="str">
        <f aca="false">IF($P140&lt;&gt;"","Exclude",IF(AND($M140&lt;&gt;"Full address",$R140=""),"Needs address",IF($J140&lt;0.5,"Hold - low volume",IF(LEFT($W140,3)="Low","Verify address",IF($G140="Needs review","Needs premise review",IF($X140="Estimated","Ready - address estimated","Ready"))))))</f>
        <v>Ready</v>
      </c>
      <c r="P140" s="5"/>
      <c r="Q140" s="5" t="s">
        <v>36</v>
      </c>
      <c r="R140" s="5"/>
      <c r="S140" s="5"/>
      <c r="T140" s="7"/>
      <c r="U140" s="7"/>
      <c r="V140" s="5"/>
      <c r="W140" s="5"/>
      <c r="X140" s="5" t="s">
        <v>37</v>
      </c>
      <c r="Y140" s="8" t="str">
        <f aca="false">IF($C140&lt;&gt;"",TRIM($C140&amp;", "&amp;$D140&amp;", "&amp;$E140&amp;" "&amp;$F140),IF($R140&lt;&gt;"",$R140,IF($D140&lt;&gt;"",$D140&amp;", "&amp;$E140,$I140)))</f>
        <v>3181 South Cobb Drive, Smyrna, GA 30080</v>
      </c>
    </row>
    <row r="141" customFormat="false" ht="15" hidden="false" customHeight="true" outlineLevel="0" collapsed="false">
      <c r="A141" s="5" t="s">
        <v>720</v>
      </c>
      <c r="B141" s="5" t="s">
        <v>721</v>
      </c>
      <c r="C141" s="5" t="s">
        <v>722</v>
      </c>
      <c r="D141" s="5" t="s">
        <v>723</v>
      </c>
      <c r="E141" s="5" t="s">
        <v>29</v>
      </c>
      <c r="F141" s="5" t="s">
        <v>724</v>
      </c>
      <c r="G141" s="5" t="s">
        <v>31</v>
      </c>
      <c r="H141" s="5" t="s">
        <v>32</v>
      </c>
      <c r="I141" s="5" t="s">
        <v>33</v>
      </c>
      <c r="J141" s="6" t="n">
        <v>2</v>
      </c>
      <c r="K141" s="5" t="s">
        <v>63</v>
      </c>
      <c r="L141" s="5" t="n">
        <f aca="false">IF($K141="",0,LEN($K141)-LEN(SUBSTITUTE($K141,",",""))+1)</f>
        <v>2</v>
      </c>
      <c r="M141" s="5" t="s">
        <v>35</v>
      </c>
      <c r="N141" s="5" t="str">
        <f aca="false">TRIM($A141&amp;" "&amp;IF($C141="",$R141,$C141&amp;" "&amp;$D141&amp;" "&amp;$E141&amp;" "&amp;$F141))</f>
        <v>Twenty Nine Package #4 4132 Lawrenceville Hwy Lilburn GA 30047</v>
      </c>
      <c r="O141" s="5" t="str">
        <f aca="false">IF($P141&lt;&gt;"","Exclude",IF(AND($M141&lt;&gt;"Full address",$R141=""),"Needs address",IF($J141&lt;0.5,"Hold - low volume",IF(LEFT($W141,3)="Low","Verify address",IF($G141="Needs review","Needs premise review",IF($X141="Estimated","Ready - address estimated","Ready"))))))</f>
        <v>Ready</v>
      </c>
      <c r="P141" s="5"/>
      <c r="Q141" s="5" t="s">
        <v>36</v>
      </c>
      <c r="R141" s="5"/>
      <c r="S141" s="5"/>
      <c r="T141" s="7"/>
      <c r="U141" s="7"/>
      <c r="V141" s="5"/>
      <c r="W141" s="5"/>
      <c r="X141" s="5" t="s">
        <v>37</v>
      </c>
      <c r="Y141" s="8" t="str">
        <f aca="false">IF($C141&lt;&gt;"",TRIM($C141&amp;", "&amp;$D141&amp;", "&amp;$E141&amp;" "&amp;$F141),IF($R141&lt;&gt;"",$R141,IF($D141&lt;&gt;"",$D141&amp;", "&amp;$E141,$I141)))</f>
        <v>4132 Lawrenceville Hwy, Lilburn, GA 30047</v>
      </c>
    </row>
    <row r="142" customFormat="false" ht="15" hidden="false" customHeight="true" outlineLevel="0" collapsed="false">
      <c r="A142" s="5" t="s">
        <v>725</v>
      </c>
      <c r="B142" s="5" t="s">
        <v>726</v>
      </c>
      <c r="C142" s="5" t="s">
        <v>727</v>
      </c>
      <c r="D142" s="5" t="s">
        <v>258</v>
      </c>
      <c r="E142" s="5" t="s">
        <v>29</v>
      </c>
      <c r="F142" s="5" t="s">
        <v>728</v>
      </c>
      <c r="G142" s="5" t="s">
        <v>31</v>
      </c>
      <c r="H142" s="5" t="s">
        <v>32</v>
      </c>
      <c r="I142" s="5" t="s">
        <v>33</v>
      </c>
      <c r="J142" s="6" t="n">
        <v>2</v>
      </c>
      <c r="K142" s="5" t="s">
        <v>414</v>
      </c>
      <c r="L142" s="5" t="n">
        <f aca="false">IF($K142="",0,LEN($K142)-LEN(SUBSTITUTE($K142,",",""))+1)</f>
        <v>2</v>
      </c>
      <c r="M142" s="5" t="s">
        <v>35</v>
      </c>
      <c r="N142" s="5" t="str">
        <f aca="false">TRIM($A142&amp;" "&amp;IF($C142="",$R142,$C142&amp;" "&amp;$D142&amp;" "&amp;$E142&amp;" "&amp;$F142))</f>
        <v>USA Package Store #2 1116 WEST AVENUE SW Conyers GA 30012</v>
      </c>
      <c r="O142" s="5" t="str">
        <f aca="false">IF($P142&lt;&gt;"","Exclude",IF(AND($M142&lt;&gt;"Full address",$R142=""),"Needs address",IF($J142&lt;0.5,"Hold - low volume",IF(LEFT($W142,3)="Low","Verify address",IF($G142="Needs review","Needs premise review",IF($X142="Estimated","Ready - address estimated","Ready"))))))</f>
        <v>Ready</v>
      </c>
      <c r="P142" s="5"/>
      <c r="Q142" s="5" t="s">
        <v>36</v>
      </c>
      <c r="R142" s="5"/>
      <c r="S142" s="5"/>
      <c r="T142" s="7"/>
      <c r="U142" s="7"/>
      <c r="V142" s="5"/>
      <c r="W142" s="5"/>
      <c r="X142" s="5" t="s">
        <v>37</v>
      </c>
      <c r="Y142" s="8" t="str">
        <f aca="false">IF($C142&lt;&gt;"",TRIM($C142&amp;", "&amp;$D142&amp;", "&amp;$E142&amp;" "&amp;$F142),IF($R142&lt;&gt;"",$R142,IF($D142&lt;&gt;"",$D142&amp;", "&amp;$E142,$I142)))</f>
        <v>1116 WEST AVENUE SW, Conyers, GA 30012</v>
      </c>
    </row>
    <row r="143" customFormat="false" ht="15" hidden="false" customHeight="true" outlineLevel="0" collapsed="false">
      <c r="A143" s="5" t="s">
        <v>729</v>
      </c>
      <c r="B143" s="5" t="s">
        <v>730</v>
      </c>
      <c r="C143" s="5" t="s">
        <v>731</v>
      </c>
      <c r="D143" s="5" t="s">
        <v>732</v>
      </c>
      <c r="E143" s="5" t="s">
        <v>484</v>
      </c>
      <c r="F143" s="5" t="s">
        <v>733</v>
      </c>
      <c r="G143" s="5" t="s">
        <v>31</v>
      </c>
      <c r="H143" s="5" t="s">
        <v>486</v>
      </c>
      <c r="I143" s="5" t="s">
        <v>487</v>
      </c>
      <c r="J143" s="6" t="n">
        <v>2</v>
      </c>
      <c r="K143" s="5" t="s">
        <v>389</v>
      </c>
      <c r="L143" s="5" t="n">
        <f aca="false">IF($K143="",0,LEN($K143)-LEN(SUBSTITUTE($K143,",",""))+1)</f>
        <v>3</v>
      </c>
      <c r="M143" s="5" t="s">
        <v>35</v>
      </c>
      <c r="N143" s="5" t="str">
        <f aca="false">TRIM($A143&amp;" "&amp;IF($C143="",$R143,$C143&amp;" "&amp;$D143&amp;" "&amp;$E143&amp;" "&amp;$F143))</f>
        <v>Trophy Wine and Spirits 316 MAIN STREET Scott City KS 67871</v>
      </c>
      <c r="O143" s="5" t="str">
        <f aca="false">IF($P143&lt;&gt;"","Exclude",IF(AND($M143&lt;&gt;"Full address",$R143=""),"Needs address",IF($J143&lt;0.5,"Hold - low volume",IF(LEFT($W143,3)="Low","Verify address",IF($G143="Needs review","Needs premise review",IF($X143="Estimated","Ready - address estimated","Ready"))))))</f>
        <v>Ready</v>
      </c>
      <c r="P143" s="5"/>
      <c r="Q143" s="5" t="s">
        <v>488</v>
      </c>
      <c r="R143" s="5"/>
      <c r="S143" s="5"/>
      <c r="T143" s="7"/>
      <c r="U143" s="7"/>
      <c r="V143" s="5"/>
      <c r="W143" s="5"/>
      <c r="X143" s="5" t="s">
        <v>37</v>
      </c>
      <c r="Y143" s="8" t="str">
        <f aca="false">IF($C143&lt;&gt;"",TRIM($C143&amp;", "&amp;$D143&amp;", "&amp;$E143&amp;" "&amp;$F143),IF($R143&lt;&gt;"",$R143,IF($D143&lt;&gt;"",$D143&amp;", "&amp;$E143,$I143)))</f>
        <v>316 MAIN STREET, Scott City, KS 67871</v>
      </c>
    </row>
    <row r="144" customFormat="false" ht="15" hidden="false" customHeight="true" outlineLevel="0" collapsed="false">
      <c r="A144" s="5" t="s">
        <v>734</v>
      </c>
      <c r="B144" s="5" t="s">
        <v>735</v>
      </c>
      <c r="C144" s="5" t="s">
        <v>736</v>
      </c>
      <c r="D144" s="5" t="s">
        <v>737</v>
      </c>
      <c r="E144" s="5" t="s">
        <v>493</v>
      </c>
      <c r="F144" s="5" t="s">
        <v>738</v>
      </c>
      <c r="G144" s="5" t="s">
        <v>31</v>
      </c>
      <c r="H144" s="5" t="s">
        <v>495</v>
      </c>
      <c r="I144" s="5" t="s">
        <v>496</v>
      </c>
      <c r="J144" s="6" t="n">
        <v>2</v>
      </c>
      <c r="K144" s="5" t="s">
        <v>63</v>
      </c>
      <c r="L144" s="5" t="n">
        <f aca="false">IF($K144="",0,LEN($K144)-LEN(SUBSTITUTE($K144,",",""))+1)</f>
        <v>2</v>
      </c>
      <c r="M144" s="5" t="s">
        <v>35</v>
      </c>
      <c r="N144" s="5" t="str">
        <f aca="false">TRIM($A144&amp;" "&amp;IF($C144="",$R144,$C144&amp;" "&amp;$D144&amp;" "&amp;$E144&amp;" "&amp;$F144))</f>
        <v>Bubbles Wine &amp; Spirits 7407 N Oak Trafficway Gladstone MO 64118</v>
      </c>
      <c r="O144" s="5" t="str">
        <f aca="false">IF($P144&lt;&gt;"","Exclude",IF(AND($M144&lt;&gt;"Full address",$R144=""),"Needs address",IF($J144&lt;0.5,"Hold - low volume",IF(LEFT($W144,3)="Low","Verify address",IF($G144="Needs review","Needs premise review",IF($X144="Estimated","Ready - address estimated","Ready"))))))</f>
        <v>Ready</v>
      </c>
      <c r="P144" s="5"/>
      <c r="Q144" s="5" t="s">
        <v>498</v>
      </c>
      <c r="R144" s="5"/>
      <c r="S144" s="5"/>
      <c r="T144" s="7"/>
      <c r="U144" s="7"/>
      <c r="V144" s="5"/>
      <c r="W144" s="5"/>
      <c r="X144" s="5" t="s">
        <v>37</v>
      </c>
      <c r="Y144" s="8" t="str">
        <f aca="false">IF($C144&lt;&gt;"",TRIM($C144&amp;", "&amp;$D144&amp;", "&amp;$E144&amp;" "&amp;$F144),IF($R144&lt;&gt;"",$R144,IF($D144&lt;&gt;"",$D144&amp;", "&amp;$E144,$I144)))</f>
        <v>7407 N Oak Trafficway, Gladstone, MO 64118</v>
      </c>
    </row>
    <row r="145" customFormat="false" ht="15" hidden="false" customHeight="true" outlineLevel="0" collapsed="false">
      <c r="A145" s="5" t="s">
        <v>739</v>
      </c>
      <c r="B145" s="5" t="s">
        <v>740</v>
      </c>
      <c r="C145" s="5" t="s">
        <v>741</v>
      </c>
      <c r="D145" s="5" t="s">
        <v>492</v>
      </c>
      <c r="E145" s="5" t="s">
        <v>493</v>
      </c>
      <c r="F145" s="5" t="s">
        <v>742</v>
      </c>
      <c r="G145" s="5" t="s">
        <v>31</v>
      </c>
      <c r="H145" s="5" t="s">
        <v>495</v>
      </c>
      <c r="I145" s="5" t="s">
        <v>496</v>
      </c>
      <c r="J145" s="6" t="n">
        <v>2</v>
      </c>
      <c r="K145" s="5" t="s">
        <v>426</v>
      </c>
      <c r="L145" s="5" t="n">
        <f aca="false">IF($K145="",0,LEN($K145)-LEN(SUBSTITUTE($K145,",",""))+1)</f>
        <v>1</v>
      </c>
      <c r="M145" s="5" t="s">
        <v>35</v>
      </c>
      <c r="N145" s="5" t="str">
        <f aca="false">TRIM($A145&amp;" "&amp;IF($C145="",$R145,$C145&amp;" "&amp;$D145&amp;" "&amp;$E145&amp;" "&amp;$F145))</f>
        <v>Vincent's 12th Street Market 2400 S 12th St St. Louis MO 63104</v>
      </c>
      <c r="O145" s="5" t="str">
        <f aca="false">IF($P145&lt;&gt;"","Exclude",IF(AND($M145&lt;&gt;"Full address",$R145=""),"Needs address",IF($J145&lt;0.5,"Hold - low volume",IF(LEFT($W145,3)="Low","Verify address",IF($G145="Needs review","Needs premise review",IF($X145="Estimated","Ready - address estimated","Ready"))))))</f>
        <v>Ready</v>
      </c>
      <c r="P145" s="5"/>
      <c r="Q145" s="5" t="s">
        <v>498</v>
      </c>
      <c r="R145" s="5"/>
      <c r="S145" s="5"/>
      <c r="T145" s="7"/>
      <c r="U145" s="7"/>
      <c r="V145" s="5"/>
      <c r="W145" s="5"/>
      <c r="X145" s="5" t="s">
        <v>37</v>
      </c>
      <c r="Y145" s="8" t="str">
        <f aca="false">IF($C145&lt;&gt;"",TRIM($C145&amp;", "&amp;$D145&amp;", "&amp;$E145&amp;" "&amp;$F145),IF($R145&lt;&gt;"",$R145,IF($D145&lt;&gt;"",$D145&amp;", "&amp;$E145,$I145)))</f>
        <v>2400 S 12th St, St. Louis, MO 63104</v>
      </c>
    </row>
    <row r="146" customFormat="false" ht="15" hidden="false" customHeight="true" outlineLevel="0" collapsed="false">
      <c r="A146" s="5" t="s">
        <v>743</v>
      </c>
      <c r="B146" s="5" t="s">
        <v>743</v>
      </c>
      <c r="C146" s="5"/>
      <c r="D146" s="5" t="s">
        <v>744</v>
      </c>
      <c r="E146" s="5" t="s">
        <v>147</v>
      </c>
      <c r="F146" s="5"/>
      <c r="G146" s="5" t="s">
        <v>31</v>
      </c>
      <c r="H146" s="5" t="s">
        <v>148</v>
      </c>
      <c r="I146" s="5" t="s">
        <v>149</v>
      </c>
      <c r="J146" s="6" t="n">
        <v>2</v>
      </c>
      <c r="K146" s="5" t="s">
        <v>63</v>
      </c>
      <c r="L146" s="5" t="n">
        <f aca="false">IF($K146="",0,LEN($K146)-LEN(SUBSTITUTE($K146,",",""))+1)</f>
        <v>2</v>
      </c>
      <c r="M146" s="5" t="s">
        <v>44</v>
      </c>
      <c r="N146" s="5" t="str">
        <f aca="false">TRIM($A146&amp;" "&amp;IF($C146="",$R146,$C146&amp;" "&amp;$D146&amp;" "&amp;$E146&amp;" "&amp;$F146))</f>
        <v>Abc Of Gaston 166 N Main St N, Gaston, SC 29053</v>
      </c>
      <c r="O146" s="5" t="str">
        <f aca="false">IF($P146&lt;&gt;"","Exclude",IF(AND($M146&lt;&gt;"Full address",$R146=""),"Needs address",IF($J146&lt;0.5,"Hold - low volume",IF(LEFT($W146,3)="Low","Verify address",IF($G146="Needs review","Needs premise review",IF($X146="Estimated","Ready - address estimated","Ready"))))))</f>
        <v>Ready - address estimated</v>
      </c>
      <c r="P146" s="5"/>
      <c r="Q146" s="5" t="s">
        <v>150</v>
      </c>
      <c r="R146" s="5" t="s">
        <v>745</v>
      </c>
      <c r="S146" s="5" t="s">
        <v>746</v>
      </c>
      <c r="T146" s="7" t="n">
        <v>33.820234</v>
      </c>
      <c r="U146" s="7" t="n">
        <v>-81.0988875</v>
      </c>
      <c r="V146" s="5" t="s">
        <v>747</v>
      </c>
      <c r="W146" s="5" t="s">
        <v>748</v>
      </c>
      <c r="X146" s="5" t="s">
        <v>50</v>
      </c>
      <c r="Y146" s="8" t="str">
        <f aca="false">IF($C146&lt;&gt;"",TRIM($C146&amp;", "&amp;$D146&amp;", "&amp;$E146&amp;" "&amp;$F146),IF($R146&lt;&gt;"",$R146,IF($D146&lt;&gt;"",$D146&amp;", "&amp;$E146,$I146)))</f>
        <v>166 N Main St N, Gaston, SC 29053</v>
      </c>
    </row>
    <row r="147" customFormat="false" ht="15" hidden="false" customHeight="true" outlineLevel="0" collapsed="false">
      <c r="A147" s="5" t="s">
        <v>749</v>
      </c>
      <c r="B147" s="5" t="s">
        <v>749</v>
      </c>
      <c r="C147" s="5"/>
      <c r="D147" s="5" t="s">
        <v>750</v>
      </c>
      <c r="E147" s="5" t="s">
        <v>147</v>
      </c>
      <c r="F147" s="5"/>
      <c r="G147" s="5" t="s">
        <v>31</v>
      </c>
      <c r="H147" s="5" t="s">
        <v>148</v>
      </c>
      <c r="I147" s="5" t="s">
        <v>149</v>
      </c>
      <c r="J147" s="6" t="n">
        <v>2</v>
      </c>
      <c r="K147" s="5" t="s">
        <v>63</v>
      </c>
      <c r="L147" s="5" t="n">
        <f aca="false">IF($K147="",0,LEN($K147)-LEN(SUBSTITUTE($K147,",",""))+1)</f>
        <v>2</v>
      </c>
      <c r="M147" s="5" t="s">
        <v>44</v>
      </c>
      <c r="N147" s="5" t="str">
        <f aca="false">TRIM($A147&amp;" "&amp;IF($C147="",$R147,$C147&amp;" "&amp;$D147&amp;" "&amp;$E147&amp;" "&amp;$F147))</f>
        <v>Albright Spirits 233 Albright Rd #102, Rock Hill, SC 29730</v>
      </c>
      <c r="O147" s="5" t="str">
        <f aca="false">IF($P147&lt;&gt;"","Exclude",IF(AND($M147&lt;&gt;"Full address",$R147=""),"Needs address",IF($J147&lt;0.5,"Hold - low volume",IF(LEFT($W147,3)="Low","Verify address",IF($G147="Needs review","Needs premise review",IF($X147="Estimated","Ready - address estimated","Ready"))))))</f>
        <v>Ready - address estimated</v>
      </c>
      <c r="P147" s="5"/>
      <c r="Q147" s="5" t="s">
        <v>150</v>
      </c>
      <c r="R147" s="5" t="s">
        <v>751</v>
      </c>
      <c r="S147" s="5" t="s">
        <v>749</v>
      </c>
      <c r="T147" s="7" t="n">
        <v>34.9133694</v>
      </c>
      <c r="U147" s="7" t="n">
        <v>-81.0079522</v>
      </c>
      <c r="V147" s="5" t="s">
        <v>752</v>
      </c>
      <c r="W147" s="5" t="s">
        <v>154</v>
      </c>
      <c r="X147" s="5" t="s">
        <v>50</v>
      </c>
      <c r="Y147" s="8" t="str">
        <f aca="false">IF($C147&lt;&gt;"",TRIM($C147&amp;", "&amp;$D147&amp;", "&amp;$E147&amp;" "&amp;$F147),IF($R147&lt;&gt;"",$R147,IF($D147&lt;&gt;"",$D147&amp;", "&amp;$E147,$I147)))</f>
        <v>233 Albright Rd #102, Rock Hill, SC 29730</v>
      </c>
    </row>
    <row r="148" customFormat="false" ht="15" hidden="false" customHeight="true" outlineLevel="0" collapsed="false">
      <c r="A148" s="5" t="s">
        <v>753</v>
      </c>
      <c r="B148" s="5" t="s">
        <v>753</v>
      </c>
      <c r="C148" s="5"/>
      <c r="D148" s="5" t="s">
        <v>754</v>
      </c>
      <c r="E148" s="5" t="s">
        <v>147</v>
      </c>
      <c r="F148" s="5"/>
      <c r="G148" s="5" t="s">
        <v>31</v>
      </c>
      <c r="H148" s="5" t="s">
        <v>148</v>
      </c>
      <c r="I148" s="5" t="s">
        <v>149</v>
      </c>
      <c r="J148" s="6" t="n">
        <v>2</v>
      </c>
      <c r="K148" s="5" t="s">
        <v>755</v>
      </c>
      <c r="L148" s="5" t="n">
        <f aca="false">IF($K148="",0,LEN($K148)-LEN(SUBSTITUTE($K148,",",""))+1)</f>
        <v>2</v>
      </c>
      <c r="M148" s="5" t="s">
        <v>44</v>
      </c>
      <c r="N148" s="5" t="str">
        <f aca="false">TRIM($A148&amp;" "&amp;IF($C148="",$R148,$C148&amp;" "&amp;$D148&amp;" "&amp;$E148&amp;" "&amp;$F148))</f>
        <v>BARRELS AND BOTTLES LLC 3377 S Morgans Point Rd #411, Mt Pleasant, SC 29466</v>
      </c>
      <c r="O148" s="5" t="str">
        <f aca="false">IF($P148&lt;&gt;"","Exclude",IF(AND($M148&lt;&gt;"Full address",$R148=""),"Needs address",IF($J148&lt;0.5,"Hold - low volume",IF(LEFT($W148,3)="Low","Verify address",IF($G148="Needs review","Needs premise review",IF($X148="Estimated","Ready - address estimated","Ready"))))))</f>
        <v>Ready - address estimated</v>
      </c>
      <c r="P148" s="5"/>
      <c r="Q148" s="5" t="s">
        <v>150</v>
      </c>
      <c r="R148" s="5" t="s">
        <v>756</v>
      </c>
      <c r="S148" s="5" t="s">
        <v>757</v>
      </c>
      <c r="T148" s="7" t="n">
        <v>32.8740369</v>
      </c>
      <c r="U148" s="7" t="n">
        <v>-79.7709702</v>
      </c>
      <c r="V148" s="5" t="s">
        <v>758</v>
      </c>
      <c r="W148" s="5" t="s">
        <v>154</v>
      </c>
      <c r="X148" s="5" t="s">
        <v>50</v>
      </c>
      <c r="Y148" s="8" t="str">
        <f aca="false">IF($C148&lt;&gt;"",TRIM($C148&amp;", "&amp;$D148&amp;", "&amp;$E148&amp;" "&amp;$F148),IF($R148&lt;&gt;"",$R148,IF($D148&lt;&gt;"",$D148&amp;", "&amp;$E148,$I148)))</f>
        <v>3377 S Morgans Point Rd #411, Mt Pleasant, SC 29466</v>
      </c>
    </row>
    <row r="149" customFormat="false" ht="15" hidden="false" customHeight="true" outlineLevel="0" collapsed="false">
      <c r="A149" s="5" t="s">
        <v>759</v>
      </c>
      <c r="B149" s="5" t="s">
        <v>759</v>
      </c>
      <c r="C149" s="5"/>
      <c r="D149" s="5" t="s">
        <v>760</v>
      </c>
      <c r="E149" s="5" t="s">
        <v>147</v>
      </c>
      <c r="F149" s="5"/>
      <c r="G149" s="5" t="s">
        <v>31</v>
      </c>
      <c r="H149" s="5" t="s">
        <v>148</v>
      </c>
      <c r="I149" s="5" t="s">
        <v>149</v>
      </c>
      <c r="J149" s="6" t="n">
        <v>2</v>
      </c>
      <c r="K149" s="5" t="s">
        <v>755</v>
      </c>
      <c r="L149" s="5" t="n">
        <f aca="false">IF($K149="",0,LEN($K149)-LEN(SUBSTITUTE($K149,",",""))+1)</f>
        <v>2</v>
      </c>
      <c r="M149" s="5" t="s">
        <v>44</v>
      </c>
      <c r="N149" s="5" t="str">
        <f aca="false">TRIM($A149&amp;" "&amp;IF($C149="",$R149,$C149&amp;" "&amp;$D149&amp;" "&amp;$E149&amp;" "&amp;$F149))</f>
        <v>BOTTLES &amp; BOOZE 2106 US-76, Marion, SC 29571</v>
      </c>
      <c r="O149" s="5" t="str">
        <f aca="false">IF($P149&lt;&gt;"","Exclude",IF(AND($M149&lt;&gt;"Full address",$R149=""),"Needs address",IF($J149&lt;0.5,"Hold - low volume",IF(LEFT($W149,3)="Low","Verify address",IF($G149="Needs review","Needs premise review",IF($X149="Estimated","Ready - address estimated","Ready"))))))</f>
        <v>Ready - address estimated</v>
      </c>
      <c r="P149" s="5"/>
      <c r="Q149" s="5" t="s">
        <v>150</v>
      </c>
      <c r="R149" s="5" t="s">
        <v>761</v>
      </c>
      <c r="S149" s="5" t="s">
        <v>759</v>
      </c>
      <c r="T149" s="7" t="n">
        <v>34.1807494</v>
      </c>
      <c r="U149" s="7" t="n">
        <v>-79.3763697</v>
      </c>
      <c r="V149" s="5" t="s">
        <v>762</v>
      </c>
      <c r="W149" s="5" t="s">
        <v>154</v>
      </c>
      <c r="X149" s="5" t="s">
        <v>50</v>
      </c>
      <c r="Y149" s="8" t="str">
        <f aca="false">IF($C149&lt;&gt;"",TRIM($C149&amp;", "&amp;$D149&amp;", "&amp;$E149&amp;" "&amp;$F149),IF($R149&lt;&gt;"",$R149,IF($D149&lt;&gt;"",$D149&amp;", "&amp;$E149,$I149)))</f>
        <v>2106 US-76, Marion, SC 29571</v>
      </c>
    </row>
    <row r="150" customFormat="false" ht="15" hidden="false" customHeight="true" outlineLevel="0" collapsed="false">
      <c r="A150" s="5" t="s">
        <v>763</v>
      </c>
      <c r="B150" s="5" t="s">
        <v>763</v>
      </c>
      <c r="C150" s="5"/>
      <c r="D150" s="5" t="s">
        <v>161</v>
      </c>
      <c r="E150" s="5" t="s">
        <v>147</v>
      </c>
      <c r="F150" s="5"/>
      <c r="G150" s="5" t="s">
        <v>31</v>
      </c>
      <c r="H150" s="5" t="s">
        <v>148</v>
      </c>
      <c r="I150" s="5" t="s">
        <v>149</v>
      </c>
      <c r="J150" s="6" t="n">
        <v>2</v>
      </c>
      <c r="K150" s="5" t="s">
        <v>764</v>
      </c>
      <c r="L150" s="5" t="n">
        <f aca="false">IF($K150="",0,LEN($K150)-LEN(SUBSTITUTE($K150,",",""))+1)</f>
        <v>2</v>
      </c>
      <c r="M150" s="5" t="s">
        <v>44</v>
      </c>
      <c r="N150" s="5" t="str">
        <f aca="false">TRIM($A150&amp;" "&amp;IF($C150="",$R150,$C150&amp;" "&amp;$D150&amp;" "&amp;$E150&amp;" "&amp;$F150))</f>
        <v>BURNT BARREL WINE AND SPIRITS 235 Village Center Blvd #5, Myrtle Beach, SC 29579</v>
      </c>
      <c r="O150" s="5" t="str">
        <f aca="false">IF($P150&lt;&gt;"","Exclude",IF(AND($M150&lt;&gt;"Full address",$R150=""),"Needs address",IF($J150&lt;0.5,"Hold - low volume",IF(LEFT($W150,3)="Low","Verify address",IF($G150="Needs review","Needs premise review",IF($X150="Estimated","Ready - address estimated","Ready"))))))</f>
        <v>Ready - address estimated</v>
      </c>
      <c r="P150" s="5"/>
      <c r="Q150" s="5" t="s">
        <v>150</v>
      </c>
      <c r="R150" s="5" t="s">
        <v>765</v>
      </c>
      <c r="S150" s="5" t="s">
        <v>766</v>
      </c>
      <c r="T150" s="7" t="n">
        <v>33.7586702</v>
      </c>
      <c r="U150" s="7" t="n">
        <v>-78.861016</v>
      </c>
      <c r="V150" s="5" t="s">
        <v>767</v>
      </c>
      <c r="W150" s="5" t="s">
        <v>154</v>
      </c>
      <c r="X150" s="5" t="s">
        <v>50</v>
      </c>
      <c r="Y150" s="8" t="str">
        <f aca="false">IF($C150&lt;&gt;"",TRIM($C150&amp;", "&amp;$D150&amp;", "&amp;$E150&amp;" "&amp;$F150),IF($R150&lt;&gt;"",$R150,IF($D150&lt;&gt;"",$D150&amp;", "&amp;$E150,$I150)))</f>
        <v>235 Village Center Blvd #5, Myrtle Beach, SC 29579</v>
      </c>
    </row>
    <row r="151" customFormat="false" ht="15" hidden="false" customHeight="true" outlineLevel="0" collapsed="false">
      <c r="A151" s="5" t="s">
        <v>768</v>
      </c>
      <c r="B151" s="5" t="s">
        <v>768</v>
      </c>
      <c r="C151" s="5"/>
      <c r="D151" s="5" t="s">
        <v>769</v>
      </c>
      <c r="E151" s="5" t="s">
        <v>147</v>
      </c>
      <c r="F151" s="5"/>
      <c r="G151" s="5" t="s">
        <v>31</v>
      </c>
      <c r="H151" s="5" t="s">
        <v>148</v>
      </c>
      <c r="I151" s="5" t="s">
        <v>149</v>
      </c>
      <c r="J151" s="6" t="n">
        <v>2</v>
      </c>
      <c r="K151" s="5" t="s">
        <v>770</v>
      </c>
      <c r="L151" s="5" t="n">
        <f aca="false">IF($K151="",0,LEN($K151)-LEN(SUBSTITUTE($K151,",",""))+1)</f>
        <v>2</v>
      </c>
      <c r="M151" s="5" t="s">
        <v>44</v>
      </c>
      <c r="N151" s="5" t="str">
        <f aca="false">TRIM($A151&amp;" "&amp;IF($C151="",$R151,$C151&amp;" "&amp;$D151&amp;" "&amp;$E151&amp;" "&amp;$F151))</f>
        <v>Brian Package Store 1091 Five Chop Rd, Orangeburg, SC 29115</v>
      </c>
      <c r="O151" s="5" t="str">
        <f aca="false">IF($P151&lt;&gt;"","Exclude",IF(AND($M151&lt;&gt;"Full address",$R151=""),"Needs address",IF($J151&lt;0.5,"Hold - low volume",IF(LEFT($W151,3)="Low","Verify address",IF($G151="Needs review","Needs premise review",IF($X151="Estimated","Ready - address estimated","Ready"))))))</f>
        <v>Ready - address estimated</v>
      </c>
      <c r="P151" s="5"/>
      <c r="Q151" s="5" t="s">
        <v>150</v>
      </c>
      <c r="R151" s="5" t="s">
        <v>771</v>
      </c>
      <c r="S151" s="5" t="s">
        <v>772</v>
      </c>
      <c r="T151" s="7" t="n">
        <v>33.4824002</v>
      </c>
      <c r="U151" s="7" t="n">
        <v>-80.8248976</v>
      </c>
      <c r="V151" s="5" t="s">
        <v>773</v>
      </c>
      <c r="W151" s="5" t="s">
        <v>154</v>
      </c>
      <c r="X151" s="5" t="s">
        <v>50</v>
      </c>
      <c r="Y151" s="8" t="str">
        <f aca="false">IF($C151&lt;&gt;"",TRIM($C151&amp;", "&amp;$D151&amp;", "&amp;$E151&amp;" "&amp;$F151),IF($R151&lt;&gt;"",$R151,IF($D151&lt;&gt;"",$D151&amp;", "&amp;$E151,$I151)))</f>
        <v>1091 Five Chop Rd, Orangeburg, SC 29115</v>
      </c>
    </row>
    <row r="152" customFormat="false" ht="15" hidden="false" customHeight="true" outlineLevel="0" collapsed="false">
      <c r="A152" s="5" t="s">
        <v>774</v>
      </c>
      <c r="B152" s="5" t="s">
        <v>774</v>
      </c>
      <c r="C152" s="5"/>
      <c r="D152" s="5" t="s">
        <v>775</v>
      </c>
      <c r="E152" s="5" t="s">
        <v>147</v>
      </c>
      <c r="F152" s="5"/>
      <c r="G152" s="5" t="s">
        <v>31</v>
      </c>
      <c r="H152" s="5" t="s">
        <v>148</v>
      </c>
      <c r="I152" s="5" t="s">
        <v>149</v>
      </c>
      <c r="J152" s="6" t="n">
        <v>2</v>
      </c>
      <c r="K152" s="5" t="s">
        <v>63</v>
      </c>
      <c r="L152" s="5" t="n">
        <f aca="false">IF($K152="",0,LEN($K152)-LEN(SUBSTITUTE($K152,",",""))+1)</f>
        <v>2</v>
      </c>
      <c r="M152" s="5" t="s">
        <v>44</v>
      </c>
      <c r="N152" s="5" t="str">
        <f aca="false">TRIM($A152&amp;" "&amp;IF($C152="",$R152,$C152&amp;" "&amp;$D152&amp;" "&amp;$E152&amp;" "&amp;$F152))</f>
        <v>Creekville Spirits II 1724 State Rd, Summerville, SC 29483</v>
      </c>
      <c r="O152" s="5" t="str">
        <f aca="false">IF($P152&lt;&gt;"","Exclude",IF(AND($M152&lt;&gt;"Full address",$R152=""),"Needs address",IF($J152&lt;0.5,"Hold - low volume",IF(LEFT($W152,3)="Low","Verify address",IF($G152="Needs review","Needs premise review",IF($X152="Estimated","Ready - address estimated","Ready"))))))</f>
        <v>Verify address</v>
      </c>
      <c r="P152" s="5"/>
      <c r="Q152" s="5" t="s">
        <v>150</v>
      </c>
      <c r="R152" s="5" t="s">
        <v>776</v>
      </c>
      <c r="S152" s="5" t="s">
        <v>777</v>
      </c>
      <c r="T152" s="7" t="n">
        <v>33.1067294</v>
      </c>
      <c r="U152" s="7" t="n">
        <v>-80.1259262</v>
      </c>
      <c r="V152" s="5" t="s">
        <v>778</v>
      </c>
      <c r="W152" s="5" t="s">
        <v>779</v>
      </c>
      <c r="X152" s="5" t="s">
        <v>50</v>
      </c>
      <c r="Y152" s="8" t="str">
        <f aca="false">IF($C152&lt;&gt;"",TRIM($C152&amp;", "&amp;$D152&amp;", "&amp;$E152&amp;" "&amp;$F152),IF($R152&lt;&gt;"",$R152,IF($D152&lt;&gt;"",$D152&amp;", "&amp;$E152,$I152)))</f>
        <v>1724 State Rd, Summerville, SC 29483</v>
      </c>
    </row>
    <row r="153" customFormat="false" ht="15" hidden="false" customHeight="true" outlineLevel="0" collapsed="false">
      <c r="A153" s="5" t="s">
        <v>780</v>
      </c>
      <c r="B153" s="5" t="s">
        <v>780</v>
      </c>
      <c r="C153" s="5"/>
      <c r="D153" s="5" t="s">
        <v>781</v>
      </c>
      <c r="E153" s="5" t="s">
        <v>147</v>
      </c>
      <c r="F153" s="5"/>
      <c r="G153" s="5" t="s">
        <v>31</v>
      </c>
      <c r="H153" s="5" t="s">
        <v>148</v>
      </c>
      <c r="I153" s="5" t="s">
        <v>149</v>
      </c>
      <c r="J153" s="6" t="n">
        <v>2</v>
      </c>
      <c r="K153" s="5" t="s">
        <v>63</v>
      </c>
      <c r="L153" s="5" t="n">
        <f aca="false">IF($K153="",0,LEN($K153)-LEN(SUBSTITUTE($K153,",",""))+1)</f>
        <v>2</v>
      </c>
      <c r="M153" s="5" t="s">
        <v>44</v>
      </c>
      <c r="N153" s="5" t="str">
        <f aca="false">TRIM($A153&amp;" "&amp;IF($C153="",$R153,$C153&amp;" "&amp;$D153&amp;" "&amp;$E153&amp;" "&amp;$F153))</f>
        <v>HARVARD'S LIQUOR &amp; WINE DBA FAIRVIEW SPIRITS LLC 655 Fairview Rd Ste C-1, Simpsonville, SC 29680</v>
      </c>
      <c r="O153" s="5" t="str">
        <f aca="false">IF($P153&lt;&gt;"","Exclude",IF(AND($M153&lt;&gt;"Full address",$R153=""),"Needs address",IF($J153&lt;0.5,"Hold - low volume",IF(LEFT($W153,3)="Low","Verify address",IF($G153="Needs review","Needs premise review",IF($X153="Estimated","Ready - address estimated","Ready"))))))</f>
        <v>Ready - address estimated</v>
      </c>
      <c r="P153" s="5"/>
      <c r="Q153" s="5" t="s">
        <v>150</v>
      </c>
      <c r="R153" s="5" t="s">
        <v>782</v>
      </c>
      <c r="S153" s="5" t="s">
        <v>783</v>
      </c>
      <c r="T153" s="7" t="n">
        <v>34.7123317</v>
      </c>
      <c r="U153" s="7" t="n">
        <v>-82.2551239</v>
      </c>
      <c r="V153" s="5" t="s">
        <v>784</v>
      </c>
      <c r="W153" s="5" t="s">
        <v>154</v>
      </c>
      <c r="X153" s="5" t="s">
        <v>50</v>
      </c>
      <c r="Y153" s="8" t="str">
        <f aca="false">IF($C153&lt;&gt;"",TRIM($C153&amp;", "&amp;$D153&amp;", "&amp;$E153&amp;" "&amp;$F153),IF($R153&lt;&gt;"",$R153,IF($D153&lt;&gt;"",$D153&amp;", "&amp;$E153,$I153)))</f>
        <v>655 Fairview Rd Ste C-1, Simpsonville, SC 29680</v>
      </c>
    </row>
    <row r="154" customFormat="false" ht="15" hidden="false" customHeight="true" outlineLevel="0" collapsed="false">
      <c r="A154" s="5" t="s">
        <v>785</v>
      </c>
      <c r="B154" s="5" t="s">
        <v>785</v>
      </c>
      <c r="C154" s="5"/>
      <c r="D154" s="5" t="s">
        <v>786</v>
      </c>
      <c r="E154" s="5" t="s">
        <v>147</v>
      </c>
      <c r="F154" s="5"/>
      <c r="G154" s="5" t="s">
        <v>31</v>
      </c>
      <c r="H154" s="5" t="s">
        <v>148</v>
      </c>
      <c r="I154" s="5" t="s">
        <v>149</v>
      </c>
      <c r="J154" s="6" t="n">
        <v>2</v>
      </c>
      <c r="K154" s="5" t="s">
        <v>63</v>
      </c>
      <c r="L154" s="5" t="n">
        <f aca="false">IF($K154="",0,LEN($K154)-LEN(SUBSTITUTE($K154,",",""))+1)</f>
        <v>2</v>
      </c>
      <c r="M154" s="5" t="s">
        <v>44</v>
      </c>
      <c r="N154" s="5" t="str">
        <f aca="false">TRIM($A154&amp;" "&amp;IF($C154="",$R154,$C154&amp;" "&amp;$D154&amp;" "&amp;$E154&amp;" "&amp;$F154))</f>
        <v>HERITAGE LIQUOR(SC) 679 Main St, West Columbia, SC 29170</v>
      </c>
      <c r="O154" s="5" t="str">
        <f aca="false">IF($P154&lt;&gt;"","Exclude",IF(AND($M154&lt;&gt;"Full address",$R154=""),"Needs address",IF($J154&lt;0.5,"Hold - low volume",IF(LEFT($W154,3)="Low","Verify address",IF($G154="Needs review","Needs premise review",IF($X154="Estimated","Ready - address estimated","Ready"))))))</f>
        <v>Ready - address estimated</v>
      </c>
      <c r="P154" s="5"/>
      <c r="Q154" s="5" t="s">
        <v>150</v>
      </c>
      <c r="R154" s="5" t="s">
        <v>787</v>
      </c>
      <c r="S154" s="5" t="s">
        <v>788</v>
      </c>
      <c r="T154" s="7" t="n">
        <v>33.9143597</v>
      </c>
      <c r="U154" s="7" t="n">
        <v>-81.1320201</v>
      </c>
      <c r="V154" s="5" t="s">
        <v>789</v>
      </c>
      <c r="W154" s="5" t="s">
        <v>154</v>
      </c>
      <c r="X154" s="5" t="s">
        <v>50</v>
      </c>
      <c r="Y154" s="8" t="str">
        <f aca="false">IF($C154&lt;&gt;"",TRIM($C154&amp;", "&amp;$D154&amp;", "&amp;$E154&amp;" "&amp;$F154),IF($R154&lt;&gt;"",$R154,IF($D154&lt;&gt;"",$D154&amp;", "&amp;$E154,$I154)))</f>
        <v>679 Main St, West Columbia, SC 29170</v>
      </c>
    </row>
    <row r="155" customFormat="false" ht="15" hidden="false" customHeight="true" outlineLevel="0" collapsed="false">
      <c r="A155" s="5" t="s">
        <v>790</v>
      </c>
      <c r="B155" s="5" t="s">
        <v>790</v>
      </c>
      <c r="C155" s="5"/>
      <c r="D155" s="5" t="s">
        <v>791</v>
      </c>
      <c r="E155" s="5" t="s">
        <v>147</v>
      </c>
      <c r="F155" s="5"/>
      <c r="G155" s="5" t="s">
        <v>31</v>
      </c>
      <c r="H155" s="5" t="s">
        <v>148</v>
      </c>
      <c r="I155" s="5" t="s">
        <v>149</v>
      </c>
      <c r="J155" s="6" t="n">
        <v>2</v>
      </c>
      <c r="K155" s="5" t="s">
        <v>63</v>
      </c>
      <c r="L155" s="5" t="n">
        <f aca="false">IF($K155="",0,LEN($K155)-LEN(SUBSTITUTE($K155,",",""))+1)</f>
        <v>2</v>
      </c>
      <c r="M155" s="5" t="s">
        <v>44</v>
      </c>
      <c r="N155" s="5" t="str">
        <f aca="false">TRIM($A155&amp;" "&amp;IF($C155="",$R155,$C155&amp;" "&amp;$D155&amp;" "&amp;$E155&amp;" "&amp;$F155))</f>
        <v>IKE'S Liquor Store 528 Mills Ave, Greenville, SC 29605</v>
      </c>
      <c r="O155" s="5" t="str">
        <f aca="false">IF($P155&lt;&gt;"","Exclude",IF(AND($M155&lt;&gt;"Full address",$R155=""),"Needs address",IF($J155&lt;0.5,"Hold - low volume",IF(LEFT($W155,3)="Low","Verify address",IF($G155="Needs review","Needs premise review",IF($X155="Estimated","Ready - address estimated","Ready"))))))</f>
        <v>Verify address</v>
      </c>
      <c r="P155" s="5"/>
      <c r="Q155" s="5" t="s">
        <v>150</v>
      </c>
      <c r="R155" s="5" t="s">
        <v>792</v>
      </c>
      <c r="S155" s="5" t="s">
        <v>793</v>
      </c>
      <c r="T155" s="7" t="n">
        <v>34.8245961</v>
      </c>
      <c r="U155" s="7" t="n">
        <v>-82.4132058</v>
      </c>
      <c r="V155" s="5" t="s">
        <v>794</v>
      </c>
      <c r="W155" s="5" t="s">
        <v>795</v>
      </c>
      <c r="X155" s="5" t="s">
        <v>50</v>
      </c>
      <c r="Y155" s="8" t="str">
        <f aca="false">IF($C155&lt;&gt;"",TRIM($C155&amp;", "&amp;$D155&amp;", "&amp;$E155&amp;" "&amp;$F155),IF($R155&lt;&gt;"",$R155,IF($D155&lt;&gt;"",$D155&amp;", "&amp;$E155,$I155)))</f>
        <v>528 Mills Ave, Greenville, SC 29605</v>
      </c>
    </row>
    <row r="156" customFormat="false" ht="15" hidden="false" customHeight="true" outlineLevel="0" collapsed="false">
      <c r="A156" s="5" t="s">
        <v>796</v>
      </c>
      <c r="B156" s="5" t="s">
        <v>796</v>
      </c>
      <c r="C156" s="5"/>
      <c r="D156" s="5" t="s">
        <v>797</v>
      </c>
      <c r="E156" s="5" t="s">
        <v>147</v>
      </c>
      <c r="F156" s="5"/>
      <c r="G156" s="5" t="s">
        <v>31</v>
      </c>
      <c r="H156" s="5" t="s">
        <v>148</v>
      </c>
      <c r="I156" s="5" t="s">
        <v>149</v>
      </c>
      <c r="J156" s="6" t="n">
        <v>2</v>
      </c>
      <c r="K156" s="5" t="s">
        <v>63</v>
      </c>
      <c r="L156" s="5" t="n">
        <f aca="false">IF($K156="",0,LEN($K156)-LEN(SUBSTITUTE($K156,",",""))+1)</f>
        <v>2</v>
      </c>
      <c r="M156" s="5" t="s">
        <v>44</v>
      </c>
      <c r="N156" s="5" t="str">
        <f aca="false">TRIM($A156&amp;" "&amp;IF($C156="",$R156,$C156&amp;" "&amp;$D156&amp;" "&amp;$E156&amp;" "&amp;$F156))</f>
        <v>IRMO LIQUOR</v>
      </c>
      <c r="O156" s="5" t="str">
        <f aca="false">IF($P156&lt;&gt;"","Exclude",IF(AND($M156&lt;&gt;"Full address",$R156=""),"Needs address",IF($J156&lt;0.5,"Hold - low volume",IF(LEFT($W156,3)="Low","Verify address",IF($G156="Needs review","Needs premise review",IF($X156="Estimated","Ready - address estimated","Ready"))))))</f>
        <v>Needs address</v>
      </c>
      <c r="P156" s="5"/>
      <c r="Q156" s="5" t="s">
        <v>150</v>
      </c>
      <c r="R156" s="5"/>
      <c r="S156" s="5"/>
      <c r="T156" s="7"/>
      <c r="U156" s="7"/>
      <c r="V156" s="5"/>
      <c r="W156" s="5"/>
      <c r="X156" s="5" t="s">
        <v>3</v>
      </c>
      <c r="Y156" s="8" t="str">
        <f aca="false">IF($C156&lt;&gt;"",TRIM($C156&amp;", "&amp;$D156&amp;", "&amp;$E156&amp;" "&amp;$F156),IF($R156&lt;&gt;"",$R156,IF($D156&lt;&gt;"",$D156&amp;", "&amp;$E156,$I156)))</f>
        <v>Irmo, SC</v>
      </c>
    </row>
    <row r="157" customFormat="false" ht="15" hidden="false" customHeight="true" outlineLevel="0" collapsed="false">
      <c r="A157" s="5" t="s">
        <v>798</v>
      </c>
      <c r="B157" s="5" t="s">
        <v>798</v>
      </c>
      <c r="C157" s="5"/>
      <c r="D157" s="5" t="s">
        <v>324</v>
      </c>
      <c r="E157" s="5" t="s">
        <v>147</v>
      </c>
      <c r="F157" s="5"/>
      <c r="G157" s="5" t="s">
        <v>31</v>
      </c>
      <c r="H157" s="5" t="s">
        <v>148</v>
      </c>
      <c r="I157" s="5" t="s">
        <v>149</v>
      </c>
      <c r="J157" s="6" t="n">
        <v>2</v>
      </c>
      <c r="K157" s="5" t="s">
        <v>63</v>
      </c>
      <c r="L157" s="5" t="n">
        <f aca="false">IF($K157="",0,LEN($K157)-LEN(SUBSTITUTE($K157,",",""))+1)</f>
        <v>2</v>
      </c>
      <c r="M157" s="5" t="s">
        <v>44</v>
      </c>
      <c r="N157" s="5" t="str">
        <f aca="false">TRIM($A157&amp;" "&amp;IF($C157="",$R157,$C157&amp;" "&amp;$D157&amp;" "&amp;$E157&amp;" "&amp;$F157))</f>
        <v>JK LIQUOR(SC)</v>
      </c>
      <c r="O157" s="5" t="str">
        <f aca="false">IF($P157&lt;&gt;"","Exclude",IF(AND($M157&lt;&gt;"Full address",$R157=""),"Needs address",IF($J157&lt;0.5,"Hold - low volume",IF(LEFT($W157,3)="Low","Verify address",IF($G157="Needs review","Needs premise review",IF($X157="Estimated","Ready - address estimated","Ready"))))))</f>
        <v>Needs address</v>
      </c>
      <c r="P157" s="5"/>
      <c r="Q157" s="5" t="s">
        <v>150</v>
      </c>
      <c r="R157" s="5"/>
      <c r="S157" s="5"/>
      <c r="T157" s="7"/>
      <c r="U157" s="7"/>
      <c r="V157" s="5"/>
      <c r="W157" s="5"/>
      <c r="X157" s="5" t="s">
        <v>3</v>
      </c>
      <c r="Y157" s="8" t="str">
        <f aca="false">IF($C157&lt;&gt;"",TRIM($C157&amp;", "&amp;$D157&amp;", "&amp;$E157&amp;" "&amp;$F157),IF($R157&lt;&gt;"",$R157,IF($D157&lt;&gt;"",$D157&amp;", "&amp;$E157,$I157)))</f>
        <v>Columbia, SC</v>
      </c>
    </row>
    <row r="158" customFormat="false" ht="15" hidden="false" customHeight="true" outlineLevel="0" collapsed="false">
      <c r="A158" s="5" t="s">
        <v>799</v>
      </c>
      <c r="B158" s="5" t="s">
        <v>799</v>
      </c>
      <c r="C158" s="5"/>
      <c r="D158" s="5" t="s">
        <v>800</v>
      </c>
      <c r="E158" s="5" t="s">
        <v>147</v>
      </c>
      <c r="F158" s="5"/>
      <c r="G158" s="5" t="s">
        <v>31</v>
      </c>
      <c r="H158" s="5" t="s">
        <v>148</v>
      </c>
      <c r="I158" s="5" t="s">
        <v>149</v>
      </c>
      <c r="J158" s="6" t="n">
        <v>2</v>
      </c>
      <c r="K158" s="5" t="s">
        <v>63</v>
      </c>
      <c r="L158" s="5" t="n">
        <f aca="false">IF($K158="",0,LEN($K158)-LEN(SUBSTITUTE($K158,",",""))+1)</f>
        <v>2</v>
      </c>
      <c r="M158" s="5" t="s">
        <v>44</v>
      </c>
      <c r="N158" s="5" t="str">
        <f aca="false">TRIM($A158&amp;" "&amp;IF($C158="",$R158,$C158&amp;" "&amp;$D158&amp;" "&amp;$E158&amp;" "&amp;$F158))</f>
        <v>JK S Liquor Store</v>
      </c>
      <c r="O158" s="5" t="str">
        <f aca="false">IF($P158&lt;&gt;"","Exclude",IF(AND($M158&lt;&gt;"Full address",$R158=""),"Needs address",IF($J158&lt;0.5,"Hold - low volume",IF(LEFT($W158,3)="Low","Verify address",IF($G158="Needs review","Needs premise review",IF($X158="Estimated","Ready - address estimated","Ready"))))))</f>
        <v>Needs address</v>
      </c>
      <c r="P158" s="5"/>
      <c r="Q158" s="5" t="s">
        <v>150</v>
      </c>
      <c r="R158" s="5"/>
      <c r="S158" s="5"/>
      <c r="T158" s="7"/>
      <c r="U158" s="7"/>
      <c r="V158" s="5"/>
      <c r="W158" s="5"/>
      <c r="X158" s="5" t="s">
        <v>3</v>
      </c>
      <c r="Y158" s="8" t="str">
        <f aca="false">IF($C158&lt;&gt;"",TRIM($C158&amp;", "&amp;$D158&amp;", "&amp;$E158&amp;" "&amp;$F158),IF($R158&lt;&gt;"",$R158,IF($D158&lt;&gt;"",$D158&amp;", "&amp;$E158,$I158)))</f>
        <v>Blacksburg, SC</v>
      </c>
    </row>
    <row r="159" customFormat="false" ht="15" hidden="false" customHeight="true" outlineLevel="0" collapsed="false">
      <c r="A159" s="5" t="s">
        <v>801</v>
      </c>
      <c r="B159" s="5" t="s">
        <v>801</v>
      </c>
      <c r="C159" s="5"/>
      <c r="D159" s="5" t="s">
        <v>802</v>
      </c>
      <c r="E159" s="5" t="s">
        <v>147</v>
      </c>
      <c r="F159" s="5"/>
      <c r="G159" s="5" t="s">
        <v>31</v>
      </c>
      <c r="H159" s="5" t="s">
        <v>148</v>
      </c>
      <c r="I159" s="5" t="s">
        <v>149</v>
      </c>
      <c r="J159" s="6" t="n">
        <v>2</v>
      </c>
      <c r="K159" s="5" t="s">
        <v>770</v>
      </c>
      <c r="L159" s="5" t="n">
        <f aca="false">IF($K159="",0,LEN($K159)-LEN(SUBSTITUTE($K159,",",""))+1)</f>
        <v>2</v>
      </c>
      <c r="M159" s="5" t="s">
        <v>44</v>
      </c>
      <c r="N159" s="5" t="str">
        <f aca="false">TRIM($A159&amp;" "&amp;IF($C159="",$R159,$C159&amp;" "&amp;$D159&amp;" "&amp;$E159&amp;" "&amp;$F159))</f>
        <v>KIAWAH SPIRITS</v>
      </c>
      <c r="O159" s="5" t="str">
        <f aca="false">IF($P159&lt;&gt;"","Exclude",IF(AND($M159&lt;&gt;"Full address",$R159=""),"Needs address",IF($J159&lt;0.5,"Hold - low volume",IF(LEFT($W159,3)="Low","Verify address",IF($G159="Needs review","Needs premise review",IF($X159="Estimated","Ready - address estimated","Ready"))))))</f>
        <v>Needs address</v>
      </c>
      <c r="P159" s="5"/>
      <c r="Q159" s="5" t="s">
        <v>150</v>
      </c>
      <c r="R159" s="5"/>
      <c r="S159" s="5"/>
      <c r="T159" s="7"/>
      <c r="U159" s="7"/>
      <c r="V159" s="5"/>
      <c r="W159" s="5"/>
      <c r="X159" s="5" t="s">
        <v>3</v>
      </c>
      <c r="Y159" s="8" t="str">
        <f aca="false">IF($C159&lt;&gt;"",TRIM($C159&amp;", "&amp;$D159&amp;", "&amp;$E159&amp;" "&amp;$F159),IF($R159&lt;&gt;"",$R159,IF($D159&lt;&gt;"",$D159&amp;", "&amp;$E159,$I159)))</f>
        <v>Kiawah Island, SC</v>
      </c>
    </row>
    <row r="160" customFormat="false" ht="15" hidden="false" customHeight="true" outlineLevel="0" collapsed="false">
      <c r="A160" s="5" t="s">
        <v>803</v>
      </c>
      <c r="B160" s="5" t="s">
        <v>803</v>
      </c>
      <c r="C160" s="5"/>
      <c r="D160" s="5" t="s">
        <v>324</v>
      </c>
      <c r="E160" s="5" t="s">
        <v>147</v>
      </c>
      <c r="F160" s="5"/>
      <c r="G160" s="5" t="s">
        <v>31</v>
      </c>
      <c r="H160" s="5" t="s">
        <v>148</v>
      </c>
      <c r="I160" s="5" t="s">
        <v>149</v>
      </c>
      <c r="J160" s="6" t="n">
        <v>2</v>
      </c>
      <c r="K160" s="5" t="s">
        <v>804</v>
      </c>
      <c r="L160" s="5" t="n">
        <f aca="false">IF($K160="",0,LEN($K160)-LEN(SUBSTITUTE($K160,",",""))+1)</f>
        <v>2</v>
      </c>
      <c r="M160" s="5" t="s">
        <v>44</v>
      </c>
      <c r="N160" s="5" t="str">
        <f aca="false">TRIM($A160&amp;" "&amp;IF($C160="",$R160,$C160&amp;" "&amp;$D160&amp;" "&amp;$E160&amp;" "&amp;$F160))</f>
        <v>KILLIAN WINE &amp; SPIRITS</v>
      </c>
      <c r="O160" s="5" t="str">
        <f aca="false">IF($P160&lt;&gt;"","Exclude",IF(AND($M160&lt;&gt;"Full address",$R160=""),"Needs address",IF($J160&lt;0.5,"Hold - low volume",IF(LEFT($W160,3)="Low","Verify address",IF($G160="Needs review","Needs premise review",IF($X160="Estimated","Ready - address estimated","Ready"))))))</f>
        <v>Needs address</v>
      </c>
      <c r="P160" s="5"/>
      <c r="Q160" s="5" t="s">
        <v>150</v>
      </c>
      <c r="R160" s="5"/>
      <c r="S160" s="5"/>
      <c r="T160" s="7"/>
      <c r="U160" s="7"/>
      <c r="V160" s="5"/>
      <c r="W160" s="5"/>
      <c r="X160" s="5" t="s">
        <v>3</v>
      </c>
      <c r="Y160" s="8" t="str">
        <f aca="false">IF($C160&lt;&gt;"",TRIM($C160&amp;", "&amp;$D160&amp;", "&amp;$E160&amp;" "&amp;$F160),IF($R160&lt;&gt;"",$R160,IF($D160&lt;&gt;"",$D160&amp;", "&amp;$E160,$I160)))</f>
        <v>Columbia, SC</v>
      </c>
    </row>
    <row r="161" customFormat="false" ht="15" hidden="false" customHeight="true" outlineLevel="0" collapsed="false">
      <c r="A161" s="5" t="s">
        <v>805</v>
      </c>
      <c r="B161" s="5" t="s">
        <v>805</v>
      </c>
      <c r="C161" s="5"/>
      <c r="D161" s="5" t="s">
        <v>786</v>
      </c>
      <c r="E161" s="5" t="s">
        <v>147</v>
      </c>
      <c r="F161" s="5"/>
      <c r="G161" s="5" t="s">
        <v>31</v>
      </c>
      <c r="H161" s="5" t="s">
        <v>148</v>
      </c>
      <c r="I161" s="5" t="s">
        <v>149</v>
      </c>
      <c r="J161" s="6" t="n">
        <v>2</v>
      </c>
      <c r="K161" s="5" t="s">
        <v>755</v>
      </c>
      <c r="L161" s="5" t="n">
        <f aca="false">IF($K161="",0,LEN($K161)-LEN(SUBSTITUTE($K161,",",""))+1)</f>
        <v>2</v>
      </c>
      <c r="M161" s="5" t="s">
        <v>44</v>
      </c>
      <c r="N161" s="5" t="str">
        <f aca="false">TRIM($A161&amp;" "&amp;IF($C161="",$R161,$C161&amp;" "&amp;$D161&amp;" "&amp;$E161&amp;" "&amp;$F161))</f>
        <v>KINGS BEVERAGE</v>
      </c>
      <c r="O161" s="5" t="str">
        <f aca="false">IF($P161&lt;&gt;"","Exclude",IF(AND($M161&lt;&gt;"Full address",$R161=""),"Needs address",IF($J161&lt;0.5,"Hold - low volume",IF(LEFT($W161,3)="Low","Verify address",IF($G161="Needs review","Needs premise review",IF($X161="Estimated","Ready - address estimated","Ready"))))))</f>
        <v>Needs address</v>
      </c>
      <c r="P161" s="5"/>
      <c r="Q161" s="5" t="s">
        <v>150</v>
      </c>
      <c r="R161" s="5"/>
      <c r="S161" s="5"/>
      <c r="T161" s="7"/>
      <c r="U161" s="7"/>
      <c r="V161" s="5"/>
      <c r="W161" s="5"/>
      <c r="X161" s="5" t="s">
        <v>3</v>
      </c>
      <c r="Y161" s="8" t="str">
        <f aca="false">IF($C161&lt;&gt;"",TRIM($C161&amp;", "&amp;$D161&amp;", "&amp;$E161&amp;" "&amp;$F161),IF($R161&lt;&gt;"",$R161,IF($D161&lt;&gt;"",$D161&amp;", "&amp;$E161,$I161)))</f>
        <v>West Columbia, SC</v>
      </c>
    </row>
    <row r="162" customFormat="false" ht="15" hidden="false" customHeight="true" outlineLevel="0" collapsed="false">
      <c r="A162" s="5" t="s">
        <v>806</v>
      </c>
      <c r="B162" s="5" t="s">
        <v>806</v>
      </c>
      <c r="C162" s="5"/>
      <c r="D162" s="5" t="s">
        <v>807</v>
      </c>
      <c r="E162" s="5" t="s">
        <v>147</v>
      </c>
      <c r="F162" s="5"/>
      <c r="G162" s="5" t="s">
        <v>31</v>
      </c>
      <c r="H162" s="5" t="s">
        <v>148</v>
      </c>
      <c r="I162" s="5" t="s">
        <v>149</v>
      </c>
      <c r="J162" s="6" t="n">
        <v>2</v>
      </c>
      <c r="K162" s="5" t="s">
        <v>770</v>
      </c>
      <c r="L162" s="5" t="n">
        <f aca="false">IF($K162="",0,LEN($K162)-LEN(SUBSTITUTE($K162,",",""))+1)</f>
        <v>2</v>
      </c>
      <c r="M162" s="5" t="s">
        <v>44</v>
      </c>
      <c r="N162" s="5" t="str">
        <f aca="false">TRIM($A162&amp;" "&amp;IF($C162="",$R162,$C162&amp;" "&amp;$D162&amp;" "&amp;$E162&amp;" "&amp;$F162))</f>
        <v>LAILS LIQUORS</v>
      </c>
      <c r="O162" s="5" t="str">
        <f aca="false">IF($P162&lt;&gt;"","Exclude",IF(AND($M162&lt;&gt;"Full address",$R162=""),"Needs address",IF($J162&lt;0.5,"Hold - low volume",IF(LEFT($W162,3)="Low","Verify address",IF($G162="Needs review","Needs premise review",IF($X162="Estimated","Ready - address estimated","Ready"))))))</f>
        <v>Needs address</v>
      </c>
      <c r="P162" s="5"/>
      <c r="Q162" s="5" t="s">
        <v>150</v>
      </c>
      <c r="R162" s="5"/>
      <c r="S162" s="5"/>
      <c r="T162" s="7"/>
      <c r="U162" s="7"/>
      <c r="V162" s="5"/>
      <c r="W162" s="5"/>
      <c r="X162" s="5" t="s">
        <v>3</v>
      </c>
      <c r="Y162" s="8" t="str">
        <f aca="false">IF($C162&lt;&gt;"",TRIM($C162&amp;", "&amp;$D162&amp;", "&amp;$E162&amp;" "&amp;$F162),IF($R162&lt;&gt;"",$R162,IF($D162&lt;&gt;"",$D162&amp;", "&amp;$E162,$I162)))</f>
        <v>Saint Stephen, SC</v>
      </c>
    </row>
    <row r="163" customFormat="false" ht="15" hidden="false" customHeight="true" outlineLevel="0" collapsed="false">
      <c r="A163" s="5" t="s">
        <v>808</v>
      </c>
      <c r="B163" s="5" t="s">
        <v>808</v>
      </c>
      <c r="C163" s="5"/>
      <c r="D163" s="5" t="s">
        <v>553</v>
      </c>
      <c r="E163" s="5" t="s">
        <v>147</v>
      </c>
      <c r="F163" s="5"/>
      <c r="G163" s="5" t="s">
        <v>31</v>
      </c>
      <c r="H163" s="5" t="s">
        <v>148</v>
      </c>
      <c r="I163" s="5" t="s">
        <v>149</v>
      </c>
      <c r="J163" s="6" t="n">
        <v>2</v>
      </c>
      <c r="K163" s="5" t="s">
        <v>414</v>
      </c>
      <c r="L163" s="5" t="n">
        <f aca="false">IF($K163="",0,LEN($K163)-LEN(SUBSTITUTE($K163,",",""))+1)</f>
        <v>2</v>
      </c>
      <c r="M163" s="5" t="s">
        <v>44</v>
      </c>
      <c r="N163" s="5" t="str">
        <f aca="false">TRIM($A163&amp;" "&amp;IF($C163="",$R163,$C163&amp;" "&amp;$D163&amp;" "&amp;$E163&amp;" "&amp;$F163))</f>
        <v>LIQUOR LAND (Hwy 76)</v>
      </c>
      <c r="O163" s="5" t="str">
        <f aca="false">IF($P163&lt;&gt;"","Exclude",IF(AND($M163&lt;&gt;"Full address",$R163=""),"Needs address",IF($J163&lt;0.5,"Hold - low volume",IF(LEFT($W163,3)="Low","Verify address",IF($G163="Needs review","Needs premise review",IF($X163="Estimated","Ready - address estimated","Ready"))))))</f>
        <v>Needs address</v>
      </c>
      <c r="P163" s="5"/>
      <c r="Q163" s="5" t="s">
        <v>150</v>
      </c>
      <c r="R163" s="5"/>
      <c r="S163" s="5"/>
      <c r="T163" s="7"/>
      <c r="U163" s="7"/>
      <c r="V163" s="5"/>
      <c r="W163" s="5"/>
      <c r="X163" s="5" t="s">
        <v>3</v>
      </c>
      <c r="Y163" s="8" t="str">
        <f aca="false">IF($C163&lt;&gt;"",TRIM($C163&amp;", "&amp;$D163&amp;", "&amp;$E163&amp;" "&amp;$F163),IF($R163&lt;&gt;"",$R163,IF($D163&lt;&gt;"",$D163&amp;", "&amp;$E163,$I163)))</f>
        <v>Pendleton, SC</v>
      </c>
    </row>
    <row r="164" customFormat="false" ht="15" hidden="false" customHeight="true" outlineLevel="0" collapsed="false">
      <c r="A164" s="5" t="s">
        <v>809</v>
      </c>
      <c r="B164" s="5" t="s">
        <v>809</v>
      </c>
      <c r="C164" s="5"/>
      <c r="D164" s="5" t="s">
        <v>810</v>
      </c>
      <c r="E164" s="5" t="s">
        <v>147</v>
      </c>
      <c r="F164" s="5"/>
      <c r="G164" s="5" t="s">
        <v>31</v>
      </c>
      <c r="H164" s="5" t="s">
        <v>148</v>
      </c>
      <c r="I164" s="5" t="s">
        <v>149</v>
      </c>
      <c r="J164" s="6" t="n">
        <v>2</v>
      </c>
      <c r="K164" s="5" t="s">
        <v>755</v>
      </c>
      <c r="L164" s="5" t="n">
        <f aca="false">IF($K164="",0,LEN($K164)-LEN(SUBSTITUTE($K164,",",""))+1)</f>
        <v>2</v>
      </c>
      <c r="M164" s="5" t="s">
        <v>44</v>
      </c>
      <c r="N164" s="5" t="str">
        <f aca="false">TRIM($A164&amp;" "&amp;IF($C164="",$R164,$C164&amp;" "&amp;$D164&amp;" "&amp;$E164&amp;" "&amp;$F164))</f>
        <v>LIQUOR XPRESS #7</v>
      </c>
      <c r="O164" s="5" t="str">
        <f aca="false">IF($P164&lt;&gt;"","Exclude",IF(AND($M164&lt;&gt;"Full address",$R164=""),"Needs address",IF($J164&lt;0.5,"Hold - low volume",IF(LEFT($W164,3)="Low","Verify address",IF($G164="Needs review","Needs premise review",IF($X164="Estimated","Ready - address estimated","Ready"))))))</f>
        <v>Needs address</v>
      </c>
      <c r="P164" s="5"/>
      <c r="Q164" s="5" t="s">
        <v>150</v>
      </c>
      <c r="R164" s="5"/>
      <c r="S164" s="5"/>
      <c r="T164" s="7"/>
      <c r="U164" s="7"/>
      <c r="V164" s="5"/>
      <c r="W164" s="5"/>
      <c r="X164" s="5" t="s">
        <v>3</v>
      </c>
      <c r="Y164" s="8" t="str">
        <f aca="false">IF($C164&lt;&gt;"",TRIM($C164&amp;", "&amp;$D164&amp;", "&amp;$E164&amp;" "&amp;$F164),IF($R164&lt;&gt;"",$R164,IF($D164&lt;&gt;"",$D164&amp;", "&amp;$E164,$I164)))</f>
        <v>Walhalla, SC</v>
      </c>
    </row>
    <row r="165" customFormat="false" ht="15" hidden="false" customHeight="true" outlineLevel="0" collapsed="false">
      <c r="A165" s="5" t="s">
        <v>811</v>
      </c>
      <c r="B165" s="5" t="s">
        <v>811</v>
      </c>
      <c r="C165" s="5"/>
      <c r="D165" s="5" t="s">
        <v>812</v>
      </c>
      <c r="E165" s="5" t="s">
        <v>147</v>
      </c>
      <c r="F165" s="5"/>
      <c r="G165" s="5" t="s">
        <v>31</v>
      </c>
      <c r="H165" s="5" t="s">
        <v>148</v>
      </c>
      <c r="I165" s="5" t="s">
        <v>149</v>
      </c>
      <c r="J165" s="6" t="n">
        <v>2</v>
      </c>
      <c r="K165" s="5" t="s">
        <v>63</v>
      </c>
      <c r="L165" s="5" t="n">
        <f aca="false">IF($K165="",0,LEN($K165)-LEN(SUBSTITUTE($K165,",",""))+1)</f>
        <v>2</v>
      </c>
      <c r="M165" s="5" t="s">
        <v>44</v>
      </c>
      <c r="N165" s="5" t="str">
        <f aca="false">TRIM($A165&amp;" "&amp;IF($C165="",$R165,$C165&amp;" "&amp;$D165&amp;" "&amp;$E165&amp;" "&amp;$F165))</f>
        <v>Lake Wylie Liquor - LD</v>
      </c>
      <c r="O165" s="5" t="str">
        <f aca="false">IF($P165&lt;&gt;"","Exclude",IF(AND($M165&lt;&gt;"Full address",$R165=""),"Needs address",IF($J165&lt;0.5,"Hold - low volume",IF(LEFT($W165,3)="Low","Verify address",IF($G165="Needs review","Needs premise review",IF($X165="Estimated","Ready - address estimated","Ready"))))))</f>
        <v>Needs address</v>
      </c>
      <c r="P165" s="5"/>
      <c r="Q165" s="5" t="s">
        <v>150</v>
      </c>
      <c r="R165" s="5"/>
      <c r="S165" s="5"/>
      <c r="T165" s="7"/>
      <c r="U165" s="7"/>
      <c r="V165" s="5"/>
      <c r="W165" s="5"/>
      <c r="X165" s="5" t="s">
        <v>3</v>
      </c>
      <c r="Y165" s="8" t="str">
        <f aca="false">IF($C165&lt;&gt;"",TRIM($C165&amp;", "&amp;$D165&amp;", "&amp;$E165&amp;" "&amp;$F165),IF($R165&lt;&gt;"",$R165,IF($D165&lt;&gt;"",$D165&amp;", "&amp;$E165,$I165)))</f>
        <v>Clover, SC</v>
      </c>
    </row>
    <row r="166" customFormat="false" ht="15" hidden="false" customHeight="true" outlineLevel="0" collapsed="false">
      <c r="A166" s="5" t="s">
        <v>813</v>
      </c>
      <c r="B166" s="5" t="s">
        <v>813</v>
      </c>
      <c r="C166" s="5"/>
      <c r="D166" s="5" t="s">
        <v>814</v>
      </c>
      <c r="E166" s="5" t="s">
        <v>147</v>
      </c>
      <c r="F166" s="5"/>
      <c r="G166" s="5" t="s">
        <v>144</v>
      </c>
      <c r="H166" s="5" t="s">
        <v>148</v>
      </c>
      <c r="I166" s="5" t="s">
        <v>149</v>
      </c>
      <c r="J166" s="6" t="n">
        <v>2</v>
      </c>
      <c r="K166" s="5" t="s">
        <v>63</v>
      </c>
      <c r="L166" s="5" t="n">
        <f aca="false">IF($K166="",0,LEN($K166)-LEN(SUBSTITUTE($K166,",",""))+1)</f>
        <v>2</v>
      </c>
      <c r="M166" s="5" t="s">
        <v>44</v>
      </c>
      <c r="N166" s="5" t="str">
        <f aca="false">TRIM($A166&amp;" "&amp;IF($C166="",$R166,$C166&amp;" "&amp;$D166&amp;" "&amp;$E166&amp;" "&amp;$F166))</f>
        <v>Liquormart 1</v>
      </c>
      <c r="O166" s="5" t="str">
        <f aca="false">IF($P166&lt;&gt;"","Exclude",IF(AND($M166&lt;&gt;"Full address",$R166=""),"Needs address",IF($J166&lt;0.5,"Hold - low volume",IF(LEFT($W166,3)="Low","Verify address",IF($G166="Needs review","Needs premise review",IF($X166="Estimated","Ready - address estimated","Ready"))))))</f>
        <v>Needs address</v>
      </c>
      <c r="P166" s="5"/>
      <c r="Q166" s="5" t="s">
        <v>150</v>
      </c>
      <c r="R166" s="5"/>
      <c r="S166" s="5"/>
      <c r="T166" s="7"/>
      <c r="U166" s="7"/>
      <c r="V166" s="5"/>
      <c r="W166" s="5"/>
      <c r="X166" s="5" t="s">
        <v>3</v>
      </c>
      <c r="Y166" s="8" t="str">
        <f aca="false">IF($C166&lt;&gt;"",TRIM($C166&amp;", "&amp;$D166&amp;", "&amp;$E166&amp;" "&amp;$F166),IF($R166&lt;&gt;"",$R166,IF($D166&lt;&gt;"",$D166&amp;", "&amp;$E166,$I166)))</f>
        <v>Blythewood, SC</v>
      </c>
    </row>
    <row r="167" customFormat="false" ht="15" hidden="false" customHeight="true" outlineLevel="0" collapsed="false">
      <c r="A167" s="5" t="s">
        <v>815</v>
      </c>
      <c r="B167" s="5" t="s">
        <v>815</v>
      </c>
      <c r="C167" s="5"/>
      <c r="D167" s="5" t="s">
        <v>816</v>
      </c>
      <c r="E167" s="5" t="s">
        <v>147</v>
      </c>
      <c r="F167" s="5"/>
      <c r="G167" s="5" t="s">
        <v>31</v>
      </c>
      <c r="H167" s="5" t="s">
        <v>148</v>
      </c>
      <c r="I167" s="5" t="s">
        <v>149</v>
      </c>
      <c r="J167" s="6" t="n">
        <v>2</v>
      </c>
      <c r="K167" s="5" t="s">
        <v>63</v>
      </c>
      <c r="L167" s="5" t="n">
        <f aca="false">IF($K167="",0,LEN($K167)-LEN(SUBSTITUTE($K167,",",""))+1)</f>
        <v>2</v>
      </c>
      <c r="M167" s="5" t="s">
        <v>44</v>
      </c>
      <c r="N167" s="5" t="str">
        <f aca="false">TRIM($A167&amp;" "&amp;IF($C167="",$R167,$C167&amp;" "&amp;$D167&amp;" "&amp;$E167&amp;" "&amp;$F167))</f>
        <v>Low Country Liquors &amp; Spirits</v>
      </c>
      <c r="O167" s="5" t="str">
        <f aca="false">IF($P167&lt;&gt;"","Exclude",IF(AND($M167&lt;&gt;"Full address",$R167=""),"Needs address",IF($J167&lt;0.5,"Hold - low volume",IF(LEFT($W167,3)="Low","Verify address",IF($G167="Needs review","Needs premise review",IF($X167="Estimated","Ready - address estimated","Ready"))))))</f>
        <v>Needs address</v>
      </c>
      <c r="P167" s="5"/>
      <c r="Q167" s="5" t="s">
        <v>150</v>
      </c>
      <c r="R167" s="5"/>
      <c r="S167" s="5"/>
      <c r="T167" s="7"/>
      <c r="U167" s="7"/>
      <c r="V167" s="5"/>
      <c r="W167" s="5"/>
      <c r="X167" s="5" t="s">
        <v>3</v>
      </c>
      <c r="Y167" s="8" t="str">
        <f aca="false">IF($C167&lt;&gt;"",TRIM($C167&amp;", "&amp;$D167&amp;", "&amp;$E167&amp;" "&amp;$F167),IF($R167&lt;&gt;"",$R167,IF($D167&lt;&gt;"",$D167&amp;", "&amp;$E167,$I167)))</f>
        <v>Bluffton, SC</v>
      </c>
    </row>
    <row r="168" customFormat="false" ht="15" hidden="false" customHeight="true" outlineLevel="0" collapsed="false">
      <c r="A168" s="5" t="s">
        <v>817</v>
      </c>
      <c r="B168" s="5" t="s">
        <v>817</v>
      </c>
      <c r="C168" s="5"/>
      <c r="D168" s="5" t="s">
        <v>818</v>
      </c>
      <c r="E168" s="5" t="s">
        <v>147</v>
      </c>
      <c r="F168" s="5"/>
      <c r="G168" s="5" t="s">
        <v>31</v>
      </c>
      <c r="H168" s="5" t="s">
        <v>148</v>
      </c>
      <c r="I168" s="5" t="s">
        <v>149</v>
      </c>
      <c r="J168" s="6" t="n">
        <v>2</v>
      </c>
      <c r="K168" s="5" t="s">
        <v>63</v>
      </c>
      <c r="L168" s="5" t="n">
        <f aca="false">IF($K168="",0,LEN($K168)-LEN(SUBSTITUTE($K168,",",""))+1)</f>
        <v>2</v>
      </c>
      <c r="M168" s="5" t="s">
        <v>44</v>
      </c>
      <c r="N168" s="5" t="str">
        <f aca="false">TRIM($A168&amp;" "&amp;IF($C168="",$R168,$C168&amp;" "&amp;$D168&amp;" "&amp;$E168&amp;" "&amp;$F168))</f>
        <v>MARKET PLACE SPIRITS</v>
      </c>
      <c r="O168" s="5" t="str">
        <f aca="false">IF($P168&lt;&gt;"","Exclude",IF(AND($M168&lt;&gt;"Full address",$R168=""),"Needs address",IF($J168&lt;0.5,"Hold - low volume",IF(LEFT($W168,3)="Low","Verify address",IF($G168="Needs review","Needs premise review",IF($X168="Estimated","Ready - address estimated","Ready"))))))</f>
        <v>Needs address</v>
      </c>
      <c r="P168" s="5"/>
      <c r="Q168" s="5" t="s">
        <v>150</v>
      </c>
      <c r="R168" s="5"/>
      <c r="S168" s="5"/>
      <c r="T168" s="7"/>
      <c r="U168" s="7"/>
      <c r="V168" s="5"/>
      <c r="W168" s="5"/>
      <c r="X168" s="5" t="s">
        <v>3</v>
      </c>
      <c r="Y168" s="8" t="str">
        <f aca="false">IF($C168&lt;&gt;"",TRIM($C168&amp;", "&amp;$D168&amp;", "&amp;$E168&amp;" "&amp;$F168),IF($R168&lt;&gt;"",$R168,IF($D168&lt;&gt;"",$D168&amp;", "&amp;$E168,$I168)))</f>
        <v>Sumter, SC</v>
      </c>
    </row>
    <row r="169" customFormat="false" ht="15" hidden="false" customHeight="true" outlineLevel="0" collapsed="false">
      <c r="A169" s="5" t="s">
        <v>819</v>
      </c>
      <c r="B169" s="5" t="s">
        <v>819</v>
      </c>
      <c r="C169" s="5"/>
      <c r="D169" s="5" t="s">
        <v>820</v>
      </c>
      <c r="E169" s="5" t="s">
        <v>147</v>
      </c>
      <c r="F169" s="5"/>
      <c r="G169" s="5" t="s">
        <v>144</v>
      </c>
      <c r="H169" s="5" t="s">
        <v>148</v>
      </c>
      <c r="I169" s="5" t="s">
        <v>149</v>
      </c>
      <c r="J169" s="6" t="n">
        <v>2</v>
      </c>
      <c r="K169" s="5" t="s">
        <v>63</v>
      </c>
      <c r="L169" s="5" t="n">
        <f aca="false">IF($K169="",0,LEN($K169)-LEN(SUBSTITUTE($K169,",",""))+1)</f>
        <v>2</v>
      </c>
      <c r="M169" s="5" t="s">
        <v>44</v>
      </c>
      <c r="N169" s="5" t="str">
        <f aca="false">TRIM($A169&amp;" "&amp;IF($C169="",$R169,$C169&amp;" "&amp;$D169&amp;" "&amp;$E169&amp;" "&amp;$F169))</f>
        <v>Micky Finns - Pamplico</v>
      </c>
      <c r="O169" s="5" t="str">
        <f aca="false">IF($P169&lt;&gt;"","Exclude",IF(AND($M169&lt;&gt;"Full address",$R169=""),"Needs address",IF($J169&lt;0.5,"Hold - low volume",IF(LEFT($W169,3)="Low","Verify address",IF($G169="Needs review","Needs premise review",IF($X169="Estimated","Ready - address estimated","Ready"))))))</f>
        <v>Needs address</v>
      </c>
      <c r="P169" s="5"/>
      <c r="Q169" s="5" t="s">
        <v>150</v>
      </c>
      <c r="R169" s="5"/>
      <c r="S169" s="5"/>
      <c r="T169" s="7"/>
      <c r="U169" s="7"/>
      <c r="V169" s="5"/>
      <c r="W169" s="5"/>
      <c r="X169" s="5" t="s">
        <v>3</v>
      </c>
      <c r="Y169" s="8" t="str">
        <f aca="false">IF($C169&lt;&gt;"",TRIM($C169&amp;", "&amp;$D169&amp;", "&amp;$E169&amp;" "&amp;$F169),IF($R169&lt;&gt;"",$R169,IF($D169&lt;&gt;"",$D169&amp;", "&amp;$E169,$I169)))</f>
        <v>Florence, SC</v>
      </c>
    </row>
    <row r="170" customFormat="false" ht="15" hidden="false" customHeight="true" outlineLevel="0" collapsed="false">
      <c r="A170" s="5" t="s">
        <v>821</v>
      </c>
      <c r="B170" s="5" t="s">
        <v>821</v>
      </c>
      <c r="C170" s="5"/>
      <c r="D170" s="5" t="s">
        <v>769</v>
      </c>
      <c r="E170" s="5" t="s">
        <v>147</v>
      </c>
      <c r="F170" s="5"/>
      <c r="G170" s="5" t="s">
        <v>31</v>
      </c>
      <c r="H170" s="5" t="s">
        <v>148</v>
      </c>
      <c r="I170" s="5" t="s">
        <v>149</v>
      </c>
      <c r="J170" s="6" t="n">
        <v>2</v>
      </c>
      <c r="K170" s="5" t="s">
        <v>755</v>
      </c>
      <c r="L170" s="5" t="n">
        <f aca="false">IF($K170="",0,LEN($K170)-LEN(SUBSTITUTE($K170,",",""))+1)</f>
        <v>2</v>
      </c>
      <c r="M170" s="5" t="s">
        <v>44</v>
      </c>
      <c r="N170" s="5" t="str">
        <f aca="false">TRIM($A170&amp;" "&amp;IF($C170="",$R170,$C170&amp;" "&amp;$D170&amp;" "&amp;$E170&amp;" "&amp;$F170))</f>
        <v>ORANGEBURG WINE AND SPIRITS</v>
      </c>
      <c r="O170" s="5" t="str">
        <f aca="false">IF($P170&lt;&gt;"","Exclude",IF(AND($M170&lt;&gt;"Full address",$R170=""),"Needs address",IF($J170&lt;0.5,"Hold - low volume",IF(LEFT($W170,3)="Low","Verify address",IF($G170="Needs review","Needs premise review",IF($X170="Estimated","Ready - address estimated","Ready"))))))</f>
        <v>Needs address</v>
      </c>
      <c r="P170" s="5"/>
      <c r="Q170" s="5" t="s">
        <v>150</v>
      </c>
      <c r="R170" s="5"/>
      <c r="S170" s="5"/>
      <c r="T170" s="7"/>
      <c r="U170" s="7"/>
      <c r="V170" s="5"/>
      <c r="W170" s="5"/>
      <c r="X170" s="5" t="s">
        <v>3</v>
      </c>
      <c r="Y170" s="8" t="str">
        <f aca="false">IF($C170&lt;&gt;"",TRIM($C170&amp;", "&amp;$D170&amp;", "&amp;$E170&amp;" "&amp;$F170),IF($R170&lt;&gt;"",$R170,IF($D170&lt;&gt;"",$D170&amp;", "&amp;$E170,$I170)))</f>
        <v>Orangeburg, SC</v>
      </c>
    </row>
    <row r="171" customFormat="false" ht="15" hidden="false" customHeight="true" outlineLevel="0" collapsed="false">
      <c r="A171" s="5" t="s">
        <v>822</v>
      </c>
      <c r="B171" s="5" t="s">
        <v>822</v>
      </c>
      <c r="C171" s="5"/>
      <c r="D171" s="5" t="s">
        <v>324</v>
      </c>
      <c r="E171" s="5" t="s">
        <v>147</v>
      </c>
      <c r="F171" s="5"/>
      <c r="G171" s="5" t="s">
        <v>31</v>
      </c>
      <c r="H171" s="5" t="s">
        <v>148</v>
      </c>
      <c r="I171" s="5" t="s">
        <v>149</v>
      </c>
      <c r="J171" s="6" t="n">
        <v>2</v>
      </c>
      <c r="K171" s="5" t="s">
        <v>63</v>
      </c>
      <c r="L171" s="5" t="n">
        <f aca="false">IF($K171="",0,LEN($K171)-LEN(SUBSTITUTE($K171,",",""))+1)</f>
        <v>2</v>
      </c>
      <c r="M171" s="5" t="s">
        <v>44</v>
      </c>
      <c r="N171" s="5" t="str">
        <f aca="false">TRIM($A171&amp;" "&amp;IF($C171="",$R171,$C171&amp;" "&amp;$D171&amp;" "&amp;$E171&amp;" "&amp;$F171))</f>
        <v>Outpost Liquor</v>
      </c>
      <c r="O171" s="5" t="str">
        <f aca="false">IF($P171&lt;&gt;"","Exclude",IF(AND($M171&lt;&gt;"Full address",$R171=""),"Needs address",IF($J171&lt;0.5,"Hold - low volume",IF(LEFT($W171,3)="Low","Verify address",IF($G171="Needs review","Needs premise review",IF($X171="Estimated","Ready - address estimated","Ready"))))))</f>
        <v>Needs address</v>
      </c>
      <c r="P171" s="5"/>
      <c r="Q171" s="5" t="s">
        <v>150</v>
      </c>
      <c r="R171" s="5"/>
      <c r="S171" s="5"/>
      <c r="T171" s="7"/>
      <c r="U171" s="7"/>
      <c r="V171" s="5"/>
      <c r="W171" s="5"/>
      <c r="X171" s="5" t="s">
        <v>3</v>
      </c>
      <c r="Y171" s="8" t="str">
        <f aca="false">IF($C171&lt;&gt;"",TRIM($C171&amp;", "&amp;$D171&amp;", "&amp;$E171&amp;" "&amp;$F171),IF($R171&lt;&gt;"",$R171,IF($D171&lt;&gt;"",$D171&amp;", "&amp;$E171,$I171)))</f>
        <v>Columbia, SC</v>
      </c>
    </row>
    <row r="172" customFormat="false" ht="15" hidden="false" customHeight="true" outlineLevel="0" collapsed="false">
      <c r="A172" s="5" t="s">
        <v>823</v>
      </c>
      <c r="B172" s="5" t="s">
        <v>823</v>
      </c>
      <c r="C172" s="5"/>
      <c r="D172" s="5" t="s">
        <v>824</v>
      </c>
      <c r="E172" s="5" t="s">
        <v>147</v>
      </c>
      <c r="F172" s="5"/>
      <c r="G172" s="5" t="s">
        <v>31</v>
      </c>
      <c r="H172" s="5" t="s">
        <v>148</v>
      </c>
      <c r="I172" s="5" t="s">
        <v>149</v>
      </c>
      <c r="J172" s="6" t="n">
        <v>2</v>
      </c>
      <c r="K172" s="5" t="s">
        <v>63</v>
      </c>
      <c r="L172" s="5" t="n">
        <f aca="false">IF($K172="",0,LEN($K172)-LEN(SUBSTITUTE($K172,",",""))+1)</f>
        <v>2</v>
      </c>
      <c r="M172" s="5" t="s">
        <v>44</v>
      </c>
      <c r="N172" s="5" t="str">
        <f aca="false">TRIM($A172&amp;" "&amp;IF($C172="",$R172,$C172&amp;" "&amp;$D172&amp;" "&amp;$E172&amp;" "&amp;$F172))</f>
        <v>PEACH GROVES WINES AND SPIRITS 1</v>
      </c>
      <c r="O172" s="5" t="str">
        <f aca="false">IF($P172&lt;&gt;"","Exclude",IF(AND($M172&lt;&gt;"Full address",$R172=""),"Needs address",IF($J172&lt;0.5,"Hold - low volume",IF(LEFT($W172,3)="Low","Verify address",IF($G172="Needs review","Needs premise review",IF($X172="Estimated","Ready - address estimated","Ready"))))))</f>
        <v>Needs address</v>
      </c>
      <c r="P172" s="5"/>
      <c r="Q172" s="5" t="s">
        <v>150</v>
      </c>
      <c r="R172" s="5"/>
      <c r="S172" s="5"/>
      <c r="T172" s="7"/>
      <c r="U172" s="7"/>
      <c r="V172" s="5"/>
      <c r="W172" s="5"/>
      <c r="X172" s="5" t="s">
        <v>3</v>
      </c>
      <c r="Y172" s="8" t="str">
        <f aca="false">IF($C172&lt;&gt;"",TRIM($C172&amp;", "&amp;$D172&amp;", "&amp;$E172&amp;" "&amp;$F172),IF($R172&lt;&gt;"",$R172,IF($D172&lt;&gt;"",$D172&amp;", "&amp;$E172,$I172)))</f>
        <v>Boiling Springs, SC</v>
      </c>
    </row>
    <row r="173" customFormat="false" ht="15" hidden="false" customHeight="true" outlineLevel="0" collapsed="false">
      <c r="A173" s="5" t="s">
        <v>825</v>
      </c>
      <c r="B173" s="5" t="s">
        <v>825</v>
      </c>
      <c r="C173" s="5"/>
      <c r="D173" s="5" t="s">
        <v>500</v>
      </c>
      <c r="E173" s="5" t="s">
        <v>147</v>
      </c>
      <c r="F173" s="5"/>
      <c r="G173" s="5" t="s">
        <v>31</v>
      </c>
      <c r="H173" s="5" t="s">
        <v>148</v>
      </c>
      <c r="I173" s="5" t="s">
        <v>149</v>
      </c>
      <c r="J173" s="6" t="n">
        <v>2</v>
      </c>
      <c r="K173" s="5" t="s">
        <v>63</v>
      </c>
      <c r="L173" s="5" t="n">
        <f aca="false">IF($K173="",0,LEN($K173)-LEN(SUBSTITUTE($K173,",",""))+1)</f>
        <v>2</v>
      </c>
      <c r="M173" s="5" t="s">
        <v>44</v>
      </c>
      <c r="N173" s="5" t="str">
        <f aca="false">TRIM($A173&amp;" "&amp;IF($C173="",$R173,$C173&amp;" "&amp;$D173&amp;" "&amp;$E173&amp;" "&amp;$F173))</f>
        <v>Pick &amp; Save Liquor Store</v>
      </c>
      <c r="O173" s="5" t="str">
        <f aca="false">IF($P173&lt;&gt;"","Exclude",IF(AND($M173&lt;&gt;"Full address",$R173=""),"Needs address",IF($J173&lt;0.5,"Hold - low volume",IF(LEFT($W173,3)="Low","Verify address",IF($G173="Needs review","Needs premise review",IF($X173="Estimated","Ready - address estimated","Ready"))))))</f>
        <v>Needs address</v>
      </c>
      <c r="P173" s="5"/>
      <c r="Q173" s="5" t="s">
        <v>150</v>
      </c>
      <c r="R173" s="5"/>
      <c r="S173" s="5"/>
      <c r="T173" s="7"/>
      <c r="U173" s="7"/>
      <c r="V173" s="5"/>
      <c r="W173" s="5"/>
      <c r="X173" s="5" t="s">
        <v>3</v>
      </c>
      <c r="Y173" s="8" t="str">
        <f aca="false">IF($C173&lt;&gt;"",TRIM($C173&amp;", "&amp;$D173&amp;", "&amp;$E173&amp;" "&amp;$F173),IF($R173&lt;&gt;"",$R173,IF($D173&lt;&gt;"",$D173&amp;", "&amp;$E173,$I173)))</f>
        <v>Spartanburg, SC</v>
      </c>
    </row>
    <row r="174" customFormat="false" ht="15" hidden="false" customHeight="true" outlineLevel="0" collapsed="false">
      <c r="A174" s="5" t="s">
        <v>826</v>
      </c>
      <c r="B174" s="5" t="s">
        <v>826</v>
      </c>
      <c r="C174" s="5"/>
      <c r="D174" s="5" t="s">
        <v>324</v>
      </c>
      <c r="E174" s="5" t="s">
        <v>147</v>
      </c>
      <c r="F174" s="5"/>
      <c r="G174" s="5" t="s">
        <v>31</v>
      </c>
      <c r="H174" s="5" t="s">
        <v>148</v>
      </c>
      <c r="I174" s="5" t="s">
        <v>149</v>
      </c>
      <c r="J174" s="6" t="n">
        <v>2</v>
      </c>
      <c r="K174" s="5" t="s">
        <v>63</v>
      </c>
      <c r="L174" s="5" t="n">
        <f aca="false">IF($K174="",0,LEN($K174)-LEN(SUBSTITUTE($K174,",",""))+1)</f>
        <v>2</v>
      </c>
      <c r="M174" s="5" t="s">
        <v>44</v>
      </c>
      <c r="N174" s="5" t="str">
        <f aca="false">TRIM($A174&amp;" "&amp;IF($C174="",$R174,$C174&amp;" "&amp;$D174&amp;" "&amp;$E174&amp;" "&amp;$F174))</f>
        <v>RICO'S LIQUOR STORE</v>
      </c>
      <c r="O174" s="5" t="str">
        <f aca="false">IF($P174&lt;&gt;"","Exclude",IF(AND($M174&lt;&gt;"Full address",$R174=""),"Needs address",IF($J174&lt;0.5,"Hold - low volume",IF(LEFT($W174,3)="Low","Verify address",IF($G174="Needs review","Needs premise review",IF($X174="Estimated","Ready - address estimated","Ready"))))))</f>
        <v>Needs address</v>
      </c>
      <c r="P174" s="5"/>
      <c r="Q174" s="5" t="s">
        <v>150</v>
      </c>
      <c r="R174" s="5"/>
      <c r="S174" s="5"/>
      <c r="T174" s="7"/>
      <c r="U174" s="7"/>
      <c r="V174" s="5"/>
      <c r="W174" s="5"/>
      <c r="X174" s="5" t="s">
        <v>3</v>
      </c>
      <c r="Y174" s="8" t="str">
        <f aca="false">IF($C174&lt;&gt;"",TRIM($C174&amp;", "&amp;$D174&amp;", "&amp;$E174&amp;" "&amp;$F174),IF($R174&lt;&gt;"",$R174,IF($D174&lt;&gt;"",$D174&amp;", "&amp;$E174,$I174)))</f>
        <v>Columbia, SC</v>
      </c>
    </row>
    <row r="175" customFormat="false" ht="15" hidden="false" customHeight="true" outlineLevel="0" collapsed="false">
      <c r="A175" s="5" t="s">
        <v>827</v>
      </c>
      <c r="B175" s="5" t="s">
        <v>827</v>
      </c>
      <c r="C175" s="5"/>
      <c r="D175" s="5" t="s">
        <v>828</v>
      </c>
      <c r="E175" s="5" t="s">
        <v>147</v>
      </c>
      <c r="F175" s="5"/>
      <c r="G175" s="5" t="s">
        <v>31</v>
      </c>
      <c r="H175" s="5" t="s">
        <v>148</v>
      </c>
      <c r="I175" s="5" t="s">
        <v>149</v>
      </c>
      <c r="J175" s="6" t="n">
        <v>2</v>
      </c>
      <c r="K175" s="5" t="s">
        <v>770</v>
      </c>
      <c r="L175" s="5" t="n">
        <f aca="false">IF($K175="",0,LEN($K175)-LEN(SUBSTITUTE($K175,",",""))+1)</f>
        <v>2</v>
      </c>
      <c r="M175" s="5" t="s">
        <v>44</v>
      </c>
      <c r="N175" s="5" t="str">
        <f aca="false">TRIM($A175&amp;" "&amp;IF($C175="",$R175,$C175&amp;" "&amp;$D175&amp;" "&amp;$E175&amp;" "&amp;$F175))</f>
        <v>ROEBUCK ABC(SC)</v>
      </c>
      <c r="O175" s="5" t="str">
        <f aca="false">IF($P175&lt;&gt;"","Exclude",IF(AND($M175&lt;&gt;"Full address",$R175=""),"Needs address",IF($J175&lt;0.5,"Hold - low volume",IF(LEFT($W175,3)="Low","Verify address",IF($G175="Needs review","Needs premise review",IF($X175="Estimated","Ready - address estimated","Ready"))))))</f>
        <v>Needs address</v>
      </c>
      <c r="P175" s="5"/>
      <c r="Q175" s="5" t="s">
        <v>150</v>
      </c>
      <c r="R175" s="5"/>
      <c r="S175" s="5"/>
      <c r="T175" s="7"/>
      <c r="U175" s="7"/>
      <c r="V175" s="5"/>
      <c r="W175" s="5"/>
      <c r="X175" s="5" t="s">
        <v>3</v>
      </c>
      <c r="Y175" s="8" t="str">
        <f aca="false">IF($C175&lt;&gt;"",TRIM($C175&amp;", "&amp;$D175&amp;", "&amp;$E175&amp;" "&amp;$F175),IF($R175&lt;&gt;"",$R175,IF($D175&lt;&gt;"",$D175&amp;", "&amp;$E175,$I175)))</f>
        <v>Roebuck, SC</v>
      </c>
    </row>
    <row r="176" customFormat="false" ht="15" hidden="false" customHeight="true" outlineLevel="0" collapsed="false">
      <c r="A176" s="5" t="s">
        <v>829</v>
      </c>
      <c r="B176" s="5" t="s">
        <v>829</v>
      </c>
      <c r="C176" s="5"/>
      <c r="D176" s="5" t="s">
        <v>324</v>
      </c>
      <c r="E176" s="5" t="s">
        <v>147</v>
      </c>
      <c r="F176" s="5"/>
      <c r="G176" s="5" t="s">
        <v>31</v>
      </c>
      <c r="H176" s="5" t="s">
        <v>148</v>
      </c>
      <c r="I176" s="5" t="s">
        <v>149</v>
      </c>
      <c r="J176" s="6" t="n">
        <v>2</v>
      </c>
      <c r="K176" s="5" t="s">
        <v>63</v>
      </c>
      <c r="L176" s="5" t="n">
        <f aca="false">IF($K176="",0,LEN($K176)-LEN(SUBSTITUTE($K176,",",""))+1)</f>
        <v>2</v>
      </c>
      <c r="M176" s="5" t="s">
        <v>44</v>
      </c>
      <c r="N176" s="5" t="str">
        <f aca="false">TRIM($A176&amp;" "&amp;IF($C176="",$R176,$C176&amp;" "&amp;$D176&amp;" "&amp;$E176&amp;" "&amp;$F176))</f>
        <v>ROYAL LIQUOR(SC)</v>
      </c>
      <c r="O176" s="5" t="str">
        <f aca="false">IF($P176&lt;&gt;"","Exclude",IF(AND($M176&lt;&gt;"Full address",$R176=""),"Needs address",IF($J176&lt;0.5,"Hold - low volume",IF(LEFT($W176,3)="Low","Verify address",IF($G176="Needs review","Needs premise review",IF($X176="Estimated","Ready - address estimated","Ready"))))))</f>
        <v>Needs address</v>
      </c>
      <c r="P176" s="5"/>
      <c r="Q176" s="5" t="s">
        <v>150</v>
      </c>
      <c r="R176" s="5"/>
      <c r="S176" s="5"/>
      <c r="T176" s="7"/>
      <c r="U176" s="7"/>
      <c r="V176" s="5"/>
      <c r="W176" s="5"/>
      <c r="X176" s="5" t="s">
        <v>3</v>
      </c>
      <c r="Y176" s="8" t="str">
        <f aca="false">IF($C176&lt;&gt;"",TRIM($C176&amp;", "&amp;$D176&amp;", "&amp;$E176&amp;" "&amp;$F176),IF($R176&lt;&gt;"",$R176,IF($D176&lt;&gt;"",$D176&amp;", "&amp;$E176,$I176)))</f>
        <v>Columbia, SC</v>
      </c>
    </row>
    <row r="177" customFormat="false" ht="15" hidden="false" customHeight="true" outlineLevel="0" collapsed="false">
      <c r="A177" s="5" t="s">
        <v>830</v>
      </c>
      <c r="B177" s="5" t="s">
        <v>830</v>
      </c>
      <c r="C177" s="5"/>
      <c r="D177" s="5" t="s">
        <v>553</v>
      </c>
      <c r="E177" s="5" t="s">
        <v>147</v>
      </c>
      <c r="F177" s="5"/>
      <c r="G177" s="5" t="s">
        <v>31</v>
      </c>
      <c r="H177" s="5" t="s">
        <v>148</v>
      </c>
      <c r="I177" s="5" t="s">
        <v>149</v>
      </c>
      <c r="J177" s="6" t="n">
        <v>2</v>
      </c>
      <c r="K177" s="5" t="s">
        <v>63</v>
      </c>
      <c r="L177" s="5" t="n">
        <f aca="false">IF($K177="",0,LEN($K177)-LEN(SUBSTITUTE($K177,",",""))+1)</f>
        <v>2</v>
      </c>
      <c r="M177" s="5" t="s">
        <v>44</v>
      </c>
      <c r="N177" s="5" t="str">
        <f aca="false">TRIM($A177&amp;" "&amp;IF($C177="",$R177,$C177&amp;" "&amp;$D177&amp;" "&amp;$E177&amp;" "&amp;$F177))</f>
        <v>RT'S LIQUOR</v>
      </c>
      <c r="O177" s="5" t="str">
        <f aca="false">IF($P177&lt;&gt;"","Exclude",IF(AND($M177&lt;&gt;"Full address",$R177=""),"Needs address",IF($J177&lt;0.5,"Hold - low volume",IF(LEFT($W177,3)="Low","Verify address",IF($G177="Needs review","Needs premise review",IF($X177="Estimated","Ready - address estimated","Ready"))))))</f>
        <v>Needs address</v>
      </c>
      <c r="P177" s="5"/>
      <c r="Q177" s="5" t="s">
        <v>150</v>
      </c>
      <c r="R177" s="5"/>
      <c r="S177" s="5"/>
      <c r="T177" s="7"/>
      <c r="U177" s="7"/>
      <c r="V177" s="5"/>
      <c r="W177" s="5"/>
      <c r="X177" s="5" t="s">
        <v>3</v>
      </c>
      <c r="Y177" s="8" t="str">
        <f aca="false">IF($C177&lt;&gt;"",TRIM($C177&amp;", "&amp;$D177&amp;", "&amp;$E177&amp;" "&amp;$F177),IF($R177&lt;&gt;"",$R177,IF($D177&lt;&gt;"",$D177&amp;", "&amp;$E177,$I177)))</f>
        <v>Pendleton, SC</v>
      </c>
    </row>
    <row r="178" customFormat="false" ht="15" hidden="false" customHeight="true" outlineLevel="0" collapsed="false">
      <c r="A178" s="5" t="s">
        <v>831</v>
      </c>
      <c r="B178" s="5" t="s">
        <v>831</v>
      </c>
      <c r="C178" s="5"/>
      <c r="D178" s="5" t="s">
        <v>533</v>
      </c>
      <c r="E178" s="5" t="s">
        <v>147</v>
      </c>
      <c r="F178" s="5"/>
      <c r="G178" s="5" t="s">
        <v>31</v>
      </c>
      <c r="H178" s="5" t="s">
        <v>148</v>
      </c>
      <c r="I178" s="5" t="s">
        <v>149</v>
      </c>
      <c r="J178" s="6" t="n">
        <v>2</v>
      </c>
      <c r="K178" s="5" t="s">
        <v>63</v>
      </c>
      <c r="L178" s="5" t="n">
        <f aca="false">IF($K178="",0,LEN($K178)-LEN(SUBSTITUTE($K178,",",""))+1)</f>
        <v>2</v>
      </c>
      <c r="M178" s="5" t="s">
        <v>44</v>
      </c>
      <c r="N178" s="5" t="str">
        <f aca="false">TRIM($A178&amp;" "&amp;IF($C178="",$R178,$C178&amp;" "&amp;$D178&amp;" "&amp;$E178&amp;" "&amp;$F178))</f>
        <v>Royal Liquors</v>
      </c>
      <c r="O178" s="5" t="str">
        <f aca="false">IF($P178&lt;&gt;"","Exclude",IF(AND($M178&lt;&gt;"Full address",$R178=""),"Needs address",IF($J178&lt;0.5,"Hold - low volume",IF(LEFT($W178,3)="Low","Verify address",IF($G178="Needs review","Needs premise review",IF($X178="Estimated","Ready - address estimated","Ready"))))))</f>
        <v>Needs address</v>
      </c>
      <c r="P178" s="5"/>
      <c r="Q178" s="5" t="s">
        <v>150</v>
      </c>
      <c r="R178" s="5"/>
      <c r="S178" s="5"/>
      <c r="T178" s="7"/>
      <c r="U178" s="7"/>
      <c r="V178" s="5"/>
      <c r="W178" s="5"/>
      <c r="X178" s="5" t="s">
        <v>3</v>
      </c>
      <c r="Y178" s="8" t="str">
        <f aca="false">IF($C178&lt;&gt;"",TRIM($C178&amp;", "&amp;$D178&amp;", "&amp;$E178&amp;" "&amp;$F178),IF($R178&lt;&gt;"",$R178,IF($D178&lt;&gt;"",$D178&amp;", "&amp;$E178,$I178)))</f>
        <v>Inman, SC</v>
      </c>
    </row>
    <row r="179" customFormat="false" ht="15" hidden="false" customHeight="true" outlineLevel="0" collapsed="false">
      <c r="A179" s="5" t="s">
        <v>832</v>
      </c>
      <c r="B179" s="5" t="s">
        <v>832</v>
      </c>
      <c r="C179" s="5"/>
      <c r="D179" s="5" t="s">
        <v>818</v>
      </c>
      <c r="E179" s="5" t="s">
        <v>147</v>
      </c>
      <c r="F179" s="5"/>
      <c r="G179" s="5" t="s">
        <v>31</v>
      </c>
      <c r="H179" s="5" t="s">
        <v>148</v>
      </c>
      <c r="I179" s="5" t="s">
        <v>149</v>
      </c>
      <c r="J179" s="6" t="n">
        <v>2</v>
      </c>
      <c r="K179" s="5" t="s">
        <v>833</v>
      </c>
      <c r="L179" s="5" t="n">
        <f aca="false">IF($K179="",0,LEN($K179)-LEN(SUBSTITUTE($K179,",",""))+1)</f>
        <v>2</v>
      </c>
      <c r="M179" s="5" t="s">
        <v>44</v>
      </c>
      <c r="N179" s="5" t="str">
        <f aca="false">TRIM($A179&amp;" "&amp;IF($C179="",$R179,$C179&amp;" "&amp;$D179&amp;" "&amp;$E179&amp;" "&amp;$F179))</f>
        <v>SUMTER WINE AND SPIRITS (SC)</v>
      </c>
      <c r="O179" s="5" t="str">
        <f aca="false">IF($P179&lt;&gt;"","Exclude",IF(AND($M179&lt;&gt;"Full address",$R179=""),"Needs address",IF($J179&lt;0.5,"Hold - low volume",IF(LEFT($W179,3)="Low","Verify address",IF($G179="Needs review","Needs premise review",IF($X179="Estimated","Ready - address estimated","Ready"))))))</f>
        <v>Needs address</v>
      </c>
      <c r="P179" s="5"/>
      <c r="Q179" s="5" t="s">
        <v>150</v>
      </c>
      <c r="R179" s="5"/>
      <c r="S179" s="5"/>
      <c r="T179" s="7"/>
      <c r="U179" s="7"/>
      <c r="V179" s="5"/>
      <c r="W179" s="5"/>
      <c r="X179" s="5" t="s">
        <v>3</v>
      </c>
      <c r="Y179" s="8" t="str">
        <f aca="false">IF($C179&lt;&gt;"",TRIM($C179&amp;", "&amp;$D179&amp;", "&amp;$E179&amp;" "&amp;$F179),IF($R179&lt;&gt;"",$R179,IF($D179&lt;&gt;"",$D179&amp;", "&amp;$E179,$I179)))</f>
        <v>Sumter, SC</v>
      </c>
    </row>
    <row r="180" customFormat="false" ht="15" hidden="false" customHeight="true" outlineLevel="0" collapsed="false">
      <c r="A180" s="5" t="s">
        <v>834</v>
      </c>
      <c r="B180" s="5" t="s">
        <v>834</v>
      </c>
      <c r="C180" s="5"/>
      <c r="D180" s="5" t="s">
        <v>835</v>
      </c>
      <c r="E180" s="5" t="s">
        <v>147</v>
      </c>
      <c r="F180" s="5"/>
      <c r="G180" s="5" t="s">
        <v>144</v>
      </c>
      <c r="H180" s="5" t="s">
        <v>148</v>
      </c>
      <c r="I180" s="5" t="s">
        <v>149</v>
      </c>
      <c r="J180" s="6" t="n">
        <v>2</v>
      </c>
      <c r="K180" s="5" t="s">
        <v>63</v>
      </c>
      <c r="L180" s="5" t="n">
        <f aca="false">IF($K180="",0,LEN($K180)-LEN(SUBSTITUTE($K180,",",""))+1)</f>
        <v>2</v>
      </c>
      <c r="M180" s="5" t="s">
        <v>44</v>
      </c>
      <c r="N180" s="5" t="str">
        <f aca="false">TRIM($A180&amp;" "&amp;IF($C180="",$R180,$C180&amp;" "&amp;$D180&amp;" "&amp;$E180&amp;" "&amp;$F180))</f>
        <v>Smokers Depot</v>
      </c>
      <c r="O180" s="5" t="str">
        <f aca="false">IF($P180&lt;&gt;"","Exclude",IF(AND($M180&lt;&gt;"Full address",$R180=""),"Needs address",IF($J180&lt;0.5,"Hold - low volume",IF(LEFT($W180,3)="Low","Verify address",IF($G180="Needs review","Needs premise review",IF($X180="Estimated","Ready - address estimated","Ready"))))))</f>
        <v>Needs address</v>
      </c>
      <c r="P180" s="5"/>
      <c r="Q180" s="5" t="s">
        <v>150</v>
      </c>
      <c r="R180" s="5"/>
      <c r="S180" s="5"/>
      <c r="T180" s="7"/>
      <c r="U180" s="7"/>
      <c r="V180" s="5"/>
      <c r="W180" s="5"/>
      <c r="X180" s="5" t="s">
        <v>3</v>
      </c>
      <c r="Y180" s="8" t="str">
        <f aca="false">IF($C180&lt;&gt;"",TRIM($C180&amp;", "&amp;$D180&amp;", "&amp;$E180&amp;" "&amp;$F180),IF($R180&lt;&gt;"",$R180,IF($D180&lt;&gt;"",$D180&amp;", "&amp;$E180,$I180)))</f>
        <v>York, SC</v>
      </c>
    </row>
    <row r="181" customFormat="false" ht="15" hidden="false" customHeight="true" outlineLevel="0" collapsed="false">
      <c r="A181" s="5" t="s">
        <v>836</v>
      </c>
      <c r="B181" s="5" t="s">
        <v>836</v>
      </c>
      <c r="C181" s="5"/>
      <c r="D181" s="5" t="s">
        <v>837</v>
      </c>
      <c r="E181" s="5" t="s">
        <v>147</v>
      </c>
      <c r="F181" s="5"/>
      <c r="G181" s="5" t="s">
        <v>31</v>
      </c>
      <c r="H181" s="5" t="s">
        <v>148</v>
      </c>
      <c r="I181" s="5" t="s">
        <v>149</v>
      </c>
      <c r="J181" s="6" t="n">
        <v>2</v>
      </c>
      <c r="K181" s="5" t="s">
        <v>63</v>
      </c>
      <c r="L181" s="5" t="n">
        <f aca="false">IF($K181="",0,LEN($K181)-LEN(SUBSTITUTE($K181,",",""))+1)</f>
        <v>2</v>
      </c>
      <c r="M181" s="5" t="s">
        <v>44</v>
      </c>
      <c r="N181" s="5" t="str">
        <f aca="false">TRIM($A181&amp;" "&amp;IF($C181="",$R181,$C181&amp;" "&amp;$D181&amp;" "&amp;$E181&amp;" "&amp;$F181))</f>
        <v>Speedee Mart Liquors</v>
      </c>
      <c r="O181" s="5" t="str">
        <f aca="false">IF($P181&lt;&gt;"","Exclude",IF(AND($M181&lt;&gt;"Full address",$R181=""),"Needs address",IF($J181&lt;0.5,"Hold - low volume",IF(LEFT($W181,3)="Low","Verify address",IF($G181="Needs review","Needs premise review",IF($X181="Estimated","Ready - address estimated","Ready"))))))</f>
        <v>Needs address</v>
      </c>
      <c r="P181" s="5"/>
      <c r="Q181" s="5" t="s">
        <v>150</v>
      </c>
      <c r="R181" s="5"/>
      <c r="S181" s="5"/>
      <c r="T181" s="7"/>
      <c r="U181" s="7"/>
      <c r="V181" s="5"/>
      <c r="W181" s="5"/>
      <c r="X181" s="5" t="s">
        <v>3</v>
      </c>
      <c r="Y181" s="8" t="str">
        <f aca="false">IF($C181&lt;&gt;"",TRIM($C181&amp;", "&amp;$D181&amp;", "&amp;$E181&amp;" "&amp;$F181),IF($R181&lt;&gt;"",$R181,IF($D181&lt;&gt;"",$D181&amp;", "&amp;$E181,$I181)))</f>
        <v>Clinton, SC</v>
      </c>
    </row>
    <row r="182" customFormat="false" ht="15" hidden="false" customHeight="true" outlineLevel="0" collapsed="false">
      <c r="A182" s="5" t="s">
        <v>838</v>
      </c>
      <c r="B182" s="5" t="s">
        <v>838</v>
      </c>
      <c r="C182" s="5"/>
      <c r="D182" s="5" t="s">
        <v>839</v>
      </c>
      <c r="E182" s="5" t="s">
        <v>147</v>
      </c>
      <c r="F182" s="5"/>
      <c r="G182" s="5" t="s">
        <v>31</v>
      </c>
      <c r="H182" s="5" t="s">
        <v>148</v>
      </c>
      <c r="I182" s="5" t="s">
        <v>149</v>
      </c>
      <c r="J182" s="6" t="n">
        <v>2</v>
      </c>
      <c r="K182" s="5" t="s">
        <v>63</v>
      </c>
      <c r="L182" s="5" t="n">
        <f aca="false">IF($K182="",0,LEN($K182)-LEN(SUBSTITUTE($K182,",",""))+1)</f>
        <v>2</v>
      </c>
      <c r="M182" s="5" t="s">
        <v>44</v>
      </c>
      <c r="N182" s="5" t="str">
        <f aca="false">TRIM($A182&amp;" "&amp;IF($C182="",$R182,$C182&amp;" "&amp;$D182&amp;" "&amp;$E182&amp;" "&amp;$F182))</f>
        <v>TD'S SPIRIT &amp; WINE</v>
      </c>
      <c r="O182" s="5" t="str">
        <f aca="false">IF($P182&lt;&gt;"","Exclude",IF(AND($M182&lt;&gt;"Full address",$R182=""),"Needs address",IF($J182&lt;0.5,"Hold - low volume",IF(LEFT($W182,3)="Low","Verify address",IF($G182="Needs review","Needs premise review",IF($X182="Estimated","Ready - address estimated","Ready"))))))</f>
        <v>Needs address</v>
      </c>
      <c r="P182" s="5"/>
      <c r="Q182" s="5" t="s">
        <v>150</v>
      </c>
      <c r="R182" s="5"/>
      <c r="S182" s="5"/>
      <c r="T182" s="7"/>
      <c r="U182" s="7"/>
      <c r="V182" s="5"/>
      <c r="W182" s="5"/>
      <c r="X182" s="5" t="s">
        <v>3</v>
      </c>
      <c r="Y182" s="8" t="str">
        <f aca="false">IF($C182&lt;&gt;"",TRIM($C182&amp;", "&amp;$D182&amp;", "&amp;$E182&amp;" "&amp;$F182),IF($R182&lt;&gt;"",$R182,IF($D182&lt;&gt;"",$D182&amp;", "&amp;$E182,$I182)))</f>
        <v>Seneca, SC</v>
      </c>
    </row>
    <row r="183" customFormat="false" ht="15" hidden="false" customHeight="true" outlineLevel="0" collapsed="false">
      <c r="A183" s="5" t="s">
        <v>840</v>
      </c>
      <c r="B183" s="5" t="s">
        <v>840</v>
      </c>
      <c r="C183" s="5"/>
      <c r="D183" s="5" t="s">
        <v>324</v>
      </c>
      <c r="E183" s="5" t="s">
        <v>147</v>
      </c>
      <c r="F183" s="5"/>
      <c r="G183" s="5" t="s">
        <v>31</v>
      </c>
      <c r="H183" s="5" t="s">
        <v>148</v>
      </c>
      <c r="I183" s="5" t="s">
        <v>149</v>
      </c>
      <c r="J183" s="6" t="n">
        <v>2</v>
      </c>
      <c r="K183" s="5" t="s">
        <v>63</v>
      </c>
      <c r="L183" s="5" t="n">
        <f aca="false">IF($K183="",0,LEN($K183)-LEN(SUBSTITUTE($K183,",",""))+1)</f>
        <v>2</v>
      </c>
      <c r="M183" s="5" t="s">
        <v>44</v>
      </c>
      <c r="N183" s="5" t="str">
        <f aca="false">TRIM($A183&amp;" "&amp;IF($C183="",$R183,$C183&amp;" "&amp;$D183&amp;" "&amp;$E183&amp;" "&amp;$F183))</f>
        <v>TONY'S LIQUOR STORE(SC)</v>
      </c>
      <c r="O183" s="5" t="str">
        <f aca="false">IF($P183&lt;&gt;"","Exclude",IF(AND($M183&lt;&gt;"Full address",$R183=""),"Needs address",IF($J183&lt;0.5,"Hold - low volume",IF(LEFT($W183,3)="Low","Verify address",IF($G183="Needs review","Needs premise review",IF($X183="Estimated","Ready - address estimated","Ready"))))))</f>
        <v>Needs address</v>
      </c>
      <c r="P183" s="5"/>
      <c r="Q183" s="5" t="s">
        <v>150</v>
      </c>
      <c r="R183" s="5"/>
      <c r="S183" s="5"/>
      <c r="T183" s="7"/>
      <c r="U183" s="7"/>
      <c r="V183" s="5"/>
      <c r="W183" s="5"/>
      <c r="X183" s="5" t="s">
        <v>3</v>
      </c>
      <c r="Y183" s="8" t="str">
        <f aca="false">IF($C183&lt;&gt;"",TRIM($C183&amp;", "&amp;$D183&amp;", "&amp;$E183&amp;" "&amp;$F183),IF($R183&lt;&gt;"",$R183,IF($D183&lt;&gt;"",$D183&amp;", "&amp;$E183,$I183)))</f>
        <v>Columbia, SC</v>
      </c>
    </row>
    <row r="184" customFormat="false" ht="15" hidden="false" customHeight="true" outlineLevel="0" collapsed="false">
      <c r="A184" s="5" t="s">
        <v>841</v>
      </c>
      <c r="B184" s="5" t="s">
        <v>841</v>
      </c>
      <c r="C184" s="5"/>
      <c r="D184" s="5" t="s">
        <v>291</v>
      </c>
      <c r="E184" s="5" t="s">
        <v>147</v>
      </c>
      <c r="F184" s="5"/>
      <c r="G184" s="5" t="s">
        <v>31</v>
      </c>
      <c r="H184" s="5" t="s">
        <v>148</v>
      </c>
      <c r="I184" s="5" t="s">
        <v>149</v>
      </c>
      <c r="J184" s="6" t="n">
        <v>2</v>
      </c>
      <c r="K184" s="5" t="s">
        <v>414</v>
      </c>
      <c r="L184" s="5" t="n">
        <f aca="false">IF($K184="",0,LEN($K184)-LEN(SUBSTITUTE($K184,",",""))+1)</f>
        <v>2</v>
      </c>
      <c r="M184" s="5" t="s">
        <v>44</v>
      </c>
      <c r="N184" s="5" t="str">
        <f aca="false">TRIM($A184&amp;" "&amp;IF($C184="",$R184,$C184&amp;" "&amp;$D184&amp;" "&amp;$E184&amp;" "&amp;$F184))</f>
        <v>UNIVERSITY WINE &amp; LIQUOR (SC)</v>
      </c>
      <c r="O184" s="5" t="str">
        <f aca="false">IF($P184&lt;&gt;"","Exclude",IF(AND($M184&lt;&gt;"Full address",$R184=""),"Needs address",IF($J184&lt;0.5,"Hold - low volume",IF(LEFT($W184,3)="Low","Verify address",IF($G184="Needs review","Needs premise review",IF($X184="Estimated","Ready - address estimated","Ready"))))))</f>
        <v>Needs address</v>
      </c>
      <c r="P184" s="5"/>
      <c r="Q184" s="5" t="s">
        <v>150</v>
      </c>
      <c r="R184" s="5"/>
      <c r="S184" s="5"/>
      <c r="T184" s="7"/>
      <c r="U184" s="7"/>
      <c r="V184" s="5"/>
      <c r="W184" s="5"/>
      <c r="X184" s="5" t="s">
        <v>3</v>
      </c>
      <c r="Y184" s="8" t="str">
        <f aca="false">IF($C184&lt;&gt;"",TRIM($C184&amp;", "&amp;$D184&amp;", "&amp;$E184&amp;" "&amp;$F184),IF($R184&lt;&gt;"",$R184,IF($D184&lt;&gt;"",$D184&amp;", "&amp;$E184,$I184)))</f>
        <v>North Charleston, SC</v>
      </c>
    </row>
    <row r="185" customFormat="false" ht="15" hidden="false" customHeight="true" outlineLevel="0" collapsed="false">
      <c r="A185" s="5" t="s">
        <v>842</v>
      </c>
      <c r="B185" s="5" t="s">
        <v>842</v>
      </c>
      <c r="C185" s="5"/>
      <c r="D185" s="5" t="s">
        <v>843</v>
      </c>
      <c r="E185" s="5" t="s">
        <v>147</v>
      </c>
      <c r="F185" s="5"/>
      <c r="G185" s="5" t="s">
        <v>31</v>
      </c>
      <c r="H185" s="5" t="s">
        <v>148</v>
      </c>
      <c r="I185" s="5" t="s">
        <v>149</v>
      </c>
      <c r="J185" s="6" t="n">
        <v>2</v>
      </c>
      <c r="K185" s="5" t="s">
        <v>764</v>
      </c>
      <c r="L185" s="5" t="n">
        <f aca="false">IF($K185="",0,LEN($K185)-LEN(SUBSTITUTE($K185,",",""))+1)</f>
        <v>2</v>
      </c>
      <c r="M185" s="5" t="s">
        <v>44</v>
      </c>
      <c r="N185" s="5" t="str">
        <f aca="false">TRIM($A185&amp;" "&amp;IF($C185="",$R185,$C185&amp;" "&amp;$D185&amp;" "&amp;$E185&amp;" "&amp;$F185))</f>
        <v>VS LIQUOR</v>
      </c>
      <c r="O185" s="5" t="str">
        <f aca="false">IF($P185&lt;&gt;"","Exclude",IF(AND($M185&lt;&gt;"Full address",$R185=""),"Needs address",IF($J185&lt;0.5,"Hold - low volume",IF(LEFT($W185,3)="Low","Verify address",IF($G185="Needs review","Needs premise review",IF($X185="Estimated","Ready - address estimated","Ready"))))))</f>
        <v>Needs address</v>
      </c>
      <c r="P185" s="5"/>
      <c r="Q185" s="5" t="s">
        <v>150</v>
      </c>
      <c r="R185" s="5"/>
      <c r="S185" s="5"/>
      <c r="T185" s="7"/>
      <c r="U185" s="7"/>
      <c r="V185" s="5"/>
      <c r="W185" s="5"/>
      <c r="X185" s="5" t="s">
        <v>3</v>
      </c>
      <c r="Y185" s="8" t="str">
        <f aca="false">IF($C185&lt;&gt;"",TRIM($C185&amp;", "&amp;$D185&amp;", "&amp;$E185&amp;" "&amp;$F185),IF($R185&lt;&gt;"",$R185,IF($D185&lt;&gt;"",$D185&amp;", "&amp;$E185,$I185)))</f>
        <v>Dillion, SC</v>
      </c>
    </row>
    <row r="186" customFormat="false" ht="15" hidden="false" customHeight="true" outlineLevel="0" collapsed="false">
      <c r="A186" s="5" t="s">
        <v>844</v>
      </c>
      <c r="B186" s="5" t="s">
        <v>844</v>
      </c>
      <c r="C186" s="5"/>
      <c r="D186" s="5" t="s">
        <v>845</v>
      </c>
      <c r="E186" s="5" t="s">
        <v>147</v>
      </c>
      <c r="F186" s="5"/>
      <c r="G186" s="5" t="s">
        <v>31</v>
      </c>
      <c r="H186" s="5" t="s">
        <v>148</v>
      </c>
      <c r="I186" s="5" t="s">
        <v>149</v>
      </c>
      <c r="J186" s="6" t="n">
        <v>2</v>
      </c>
      <c r="K186" s="5" t="s">
        <v>63</v>
      </c>
      <c r="L186" s="5" t="n">
        <f aca="false">IF($K186="",0,LEN($K186)-LEN(SUBSTITUTE($K186,",",""))+1)</f>
        <v>2</v>
      </c>
      <c r="M186" s="5" t="s">
        <v>44</v>
      </c>
      <c r="N186" s="5" t="str">
        <f aca="false">TRIM($A186&amp;" "&amp;IF($C186="",$R186,$C186&amp;" "&amp;$D186&amp;" "&amp;$E186&amp;" "&amp;$F186))</f>
        <v>Whistle Stop Spirits</v>
      </c>
      <c r="O186" s="5" t="str">
        <f aca="false">IF($P186&lt;&gt;"","Exclude",IF(AND($M186&lt;&gt;"Full address",$R186=""),"Needs address",IF($J186&lt;0.5,"Hold - low volume",IF(LEFT($W186,3)="Low","Verify address",IF($G186="Needs review","Needs premise review",IF($X186="Estimated","Ready - address estimated","Ready"))))))</f>
        <v>Needs address</v>
      </c>
      <c r="P186" s="5"/>
      <c r="Q186" s="5" t="s">
        <v>150</v>
      </c>
      <c r="R186" s="5"/>
      <c r="S186" s="5"/>
      <c r="T186" s="7"/>
      <c r="U186" s="7"/>
      <c r="V186" s="5"/>
      <c r="W186" s="5"/>
      <c r="X186" s="5" t="s">
        <v>3</v>
      </c>
      <c r="Y186" s="8" t="str">
        <f aca="false">IF($C186&lt;&gt;"",TRIM($C186&amp;", "&amp;$D186&amp;", "&amp;$E186&amp;" "&amp;$F186),IF($R186&lt;&gt;"",$R186,IF($D186&lt;&gt;"",$D186&amp;", "&amp;$E186,$I186)))</f>
        <v>Central, SC</v>
      </c>
    </row>
    <row r="187" customFormat="false" ht="15" hidden="false" customHeight="true" outlineLevel="0" collapsed="false">
      <c r="A187" s="5" t="s">
        <v>846</v>
      </c>
      <c r="B187" s="5" t="s">
        <v>847</v>
      </c>
      <c r="C187" s="5" t="s">
        <v>848</v>
      </c>
      <c r="D187" s="5" t="s">
        <v>849</v>
      </c>
      <c r="E187" s="5" t="s">
        <v>375</v>
      </c>
      <c r="F187" s="5" t="s">
        <v>850</v>
      </c>
      <c r="G187" s="5" t="s">
        <v>31</v>
      </c>
      <c r="H187" s="5" t="s">
        <v>378</v>
      </c>
      <c r="I187" s="5" t="s">
        <v>379</v>
      </c>
      <c r="J187" s="6" t="n">
        <v>2</v>
      </c>
      <c r="K187" s="5" t="s">
        <v>63</v>
      </c>
      <c r="L187" s="5" t="n">
        <f aca="false">IF($K187="",0,LEN($K187)-LEN(SUBSTITUTE($K187,",",""))+1)</f>
        <v>2</v>
      </c>
      <c r="M187" s="5" t="s">
        <v>35</v>
      </c>
      <c r="N187" s="5" t="str">
        <f aca="false">TRIM($A187&amp;" "&amp;IF($C187="",$R187,$C187&amp;" "&amp;$D187&amp;" "&amp;$E187&amp;" "&amp;$F187))</f>
        <v>Eagle Liquor 1800 Dalton Pike Cleveland TN 37311</v>
      </c>
      <c r="O187" s="5" t="str">
        <f aca="false">IF($P187&lt;&gt;"","Exclude",IF(AND($M187&lt;&gt;"Full address",$R187=""),"Needs address",IF($J187&lt;0.5,"Hold - low volume",IF(LEFT($W187,3)="Low","Verify address",IF($G187="Needs review","Needs premise review",IF($X187="Estimated","Ready - address estimated","Ready"))))))</f>
        <v>Ready</v>
      </c>
      <c r="P187" s="5"/>
      <c r="Q187" s="5" t="s">
        <v>380</v>
      </c>
      <c r="R187" s="5"/>
      <c r="S187" s="5"/>
      <c r="T187" s="7"/>
      <c r="U187" s="7"/>
      <c r="V187" s="5"/>
      <c r="W187" s="5"/>
      <c r="X187" s="5" t="s">
        <v>37</v>
      </c>
      <c r="Y187" s="8" t="str">
        <f aca="false">IF($C187&lt;&gt;"",TRIM($C187&amp;", "&amp;$D187&amp;", "&amp;$E187&amp;" "&amp;$F187),IF($R187&lt;&gt;"",$R187,IF($D187&lt;&gt;"",$D187&amp;", "&amp;$E187,$I187)))</f>
        <v>1800 Dalton Pike, Cleveland, TN 37311</v>
      </c>
    </row>
    <row r="188" customFormat="false" ht="15" hidden="false" customHeight="true" outlineLevel="0" collapsed="false">
      <c r="A188" s="5" t="s">
        <v>851</v>
      </c>
      <c r="B188" s="5" t="s">
        <v>851</v>
      </c>
      <c r="C188" s="5"/>
      <c r="D188" s="5" t="s">
        <v>852</v>
      </c>
      <c r="E188" s="5" t="s">
        <v>40</v>
      </c>
      <c r="F188" s="5"/>
      <c r="G188" s="5" t="s">
        <v>31</v>
      </c>
      <c r="H188" s="5" t="s">
        <v>157</v>
      </c>
      <c r="I188" s="5" t="s">
        <v>42</v>
      </c>
      <c r="J188" s="6" t="n">
        <v>2</v>
      </c>
      <c r="K188" s="5" t="s">
        <v>76</v>
      </c>
      <c r="L188" s="5" t="n">
        <f aca="false">IF($K188="",0,LEN($K188)-LEN(SUBSTITUTE($K188,",",""))+1)</f>
        <v>1</v>
      </c>
      <c r="M188" s="5" t="s">
        <v>44</v>
      </c>
      <c r="N188" s="5" t="str">
        <f aca="false">TRIM($A188&amp;" "&amp;IF($C188="",$R188,$C188&amp;" "&amp;$D188&amp;" "&amp;$E188&amp;" "&amp;$F188))</f>
        <v>19th Hole Package</v>
      </c>
      <c r="O188" s="5" t="str">
        <f aca="false">IF($P188&lt;&gt;"","Exclude",IF(AND($M188&lt;&gt;"Full address",$R188=""),"Needs address",IF($J188&lt;0.5,"Hold - low volume",IF(LEFT($W188,3)="Low","Verify address",IF($G188="Needs review","Needs premise review",IF($X188="Estimated","Ready - address estimated","Ready"))))))</f>
        <v>Needs address</v>
      </c>
      <c r="P188" s="5"/>
      <c r="Q188" s="5" t="s">
        <v>45</v>
      </c>
      <c r="R188" s="5"/>
      <c r="S188" s="5"/>
      <c r="T188" s="7"/>
      <c r="U188" s="7"/>
      <c r="V188" s="5"/>
      <c r="W188" s="5"/>
      <c r="X188" s="5" t="s">
        <v>3</v>
      </c>
      <c r="Y188" s="8" t="str">
        <f aca="false">IF($C188&lt;&gt;"",TRIM($C188&amp;", "&amp;$D188&amp;", "&amp;$E188&amp;" "&amp;$F188),IF($R188&lt;&gt;"",$R188,IF($D188&lt;&gt;"",$D188&amp;", "&amp;$E188,$I188)))</f>
        <v>Hereford, TX</v>
      </c>
    </row>
    <row r="189" customFormat="false" ht="15" hidden="false" customHeight="true" outlineLevel="0" collapsed="false">
      <c r="A189" s="5" t="s">
        <v>853</v>
      </c>
      <c r="B189" s="5" t="s">
        <v>853</v>
      </c>
      <c r="C189" s="5"/>
      <c r="D189" s="5" t="s">
        <v>313</v>
      </c>
      <c r="E189" s="5" t="s">
        <v>40</v>
      </c>
      <c r="F189" s="5"/>
      <c r="G189" s="5" t="s">
        <v>31</v>
      </c>
      <c r="H189" s="5" t="s">
        <v>41</v>
      </c>
      <c r="I189" s="5" t="s">
        <v>42</v>
      </c>
      <c r="J189" s="6" t="n">
        <v>2</v>
      </c>
      <c r="K189" s="5" t="s">
        <v>63</v>
      </c>
      <c r="L189" s="5" t="n">
        <f aca="false">IF($K189="",0,LEN($K189)-LEN(SUBSTITUTE($K189,",",""))+1)</f>
        <v>2</v>
      </c>
      <c r="M189" s="5" t="s">
        <v>44</v>
      </c>
      <c r="N189" s="5" t="str">
        <f aca="false">TRIM($A189&amp;" "&amp;IF($C189="",$R189,$C189&amp;" "&amp;$D189&amp;" "&amp;$E189&amp;" "&amp;$F189))</f>
        <v>509 Liquors</v>
      </c>
      <c r="O189" s="5" t="str">
        <f aca="false">IF($P189&lt;&gt;"","Exclude",IF(AND($M189&lt;&gt;"Full address",$R189=""),"Needs address",IF($J189&lt;0.5,"Hold - low volume",IF(LEFT($W189,3)="Low","Verify address",IF($G189="Needs review","Needs premise review",IF($X189="Estimated","Ready - address estimated","Ready"))))))</f>
        <v>Needs address</v>
      </c>
      <c r="P189" s="5"/>
      <c r="Q189" s="5" t="s">
        <v>45</v>
      </c>
      <c r="R189" s="5"/>
      <c r="S189" s="5"/>
      <c r="T189" s="7"/>
      <c r="U189" s="7"/>
      <c r="V189" s="5"/>
      <c r="W189" s="5"/>
      <c r="X189" s="5" t="s">
        <v>3</v>
      </c>
      <c r="Y189" s="8" t="str">
        <f aca="false">IF($C189&lt;&gt;"",TRIM($C189&amp;", "&amp;$D189&amp;", "&amp;$E189&amp;" "&amp;$F189),IF($R189&lt;&gt;"",$R189,IF($D189&lt;&gt;"",$D189&amp;", "&amp;$E189,$I189)))</f>
        <v>Terrell, TX</v>
      </c>
    </row>
    <row r="190" customFormat="false" ht="15" hidden="false" customHeight="true" outlineLevel="0" collapsed="false">
      <c r="A190" s="5" t="s">
        <v>854</v>
      </c>
      <c r="B190" s="5" t="s">
        <v>854</v>
      </c>
      <c r="C190" s="5"/>
      <c r="D190" s="5" t="s">
        <v>855</v>
      </c>
      <c r="E190" s="5" t="s">
        <v>40</v>
      </c>
      <c r="F190" s="5"/>
      <c r="G190" s="5" t="s">
        <v>31</v>
      </c>
      <c r="H190" s="5" t="s">
        <v>157</v>
      </c>
      <c r="I190" s="5" t="s">
        <v>42</v>
      </c>
      <c r="J190" s="6" t="n">
        <v>2</v>
      </c>
      <c r="K190" s="5" t="s">
        <v>856</v>
      </c>
      <c r="L190" s="5" t="n">
        <f aca="false">IF($K190="",0,LEN($K190)-LEN(SUBSTITUTE($K190,",",""))+1)</f>
        <v>2</v>
      </c>
      <c r="M190" s="5" t="s">
        <v>44</v>
      </c>
      <c r="N190" s="5" t="str">
        <f aca="false">TRIM($A190&amp;" "&amp;IF($C190="",$R190,$C190&amp;" "&amp;$D190&amp;" "&amp;$E190&amp;" "&amp;$F190))</f>
        <v>Bammel Liquor LLC</v>
      </c>
      <c r="O190" s="5" t="str">
        <f aca="false">IF($P190&lt;&gt;"","Exclude",IF(AND($M190&lt;&gt;"Full address",$R190=""),"Needs address",IF($J190&lt;0.5,"Hold - low volume",IF(LEFT($W190,3)="Low","Verify address",IF($G190="Needs review","Needs premise review",IF($X190="Estimated","Ready - address estimated","Ready"))))))</f>
        <v>Needs address</v>
      </c>
      <c r="P190" s="5"/>
      <c r="Q190" s="5" t="s">
        <v>45</v>
      </c>
      <c r="R190" s="5"/>
      <c r="S190" s="5"/>
      <c r="T190" s="7"/>
      <c r="U190" s="7"/>
      <c r="V190" s="5"/>
      <c r="W190" s="5"/>
      <c r="X190" s="5" t="s">
        <v>3</v>
      </c>
      <c r="Y190" s="8" t="str">
        <f aca="false">IF($C190&lt;&gt;"",TRIM($C190&amp;", "&amp;$D190&amp;", "&amp;$E190&amp;" "&amp;$F190),IF($R190&lt;&gt;"",$R190,IF($D190&lt;&gt;"",$D190&amp;", "&amp;$E190,$I190)))</f>
        <v>Houston, TX</v>
      </c>
    </row>
    <row r="191" customFormat="false" ht="15" hidden="false" customHeight="true" outlineLevel="0" collapsed="false">
      <c r="A191" s="5" t="s">
        <v>857</v>
      </c>
      <c r="B191" s="5" t="s">
        <v>857</v>
      </c>
      <c r="C191" s="5"/>
      <c r="D191" s="5" t="s">
        <v>167</v>
      </c>
      <c r="E191" s="5" t="s">
        <v>40</v>
      </c>
      <c r="F191" s="5"/>
      <c r="G191" s="5" t="s">
        <v>31</v>
      </c>
      <c r="H191" s="5" t="s">
        <v>41</v>
      </c>
      <c r="I191" s="5" t="s">
        <v>42</v>
      </c>
      <c r="J191" s="6" t="n">
        <v>2</v>
      </c>
      <c r="K191" s="5" t="s">
        <v>63</v>
      </c>
      <c r="L191" s="5" t="n">
        <f aca="false">IF($K191="",0,LEN($K191)-LEN(SUBSTITUTE($K191,",",""))+1)</f>
        <v>2</v>
      </c>
      <c r="M191" s="5" t="s">
        <v>44</v>
      </c>
      <c r="N191" s="5" t="str">
        <f aca="false">TRIM($A191&amp;" "&amp;IF($C191="",$R191,$C191&amp;" "&amp;$D191&amp;" "&amp;$E191&amp;" "&amp;$F191))</f>
        <v>Bear Creek Spirits &amp; Wine</v>
      </c>
      <c r="O191" s="5" t="str">
        <f aca="false">IF($P191&lt;&gt;"","Exclude",IF(AND($M191&lt;&gt;"Full address",$R191=""),"Needs address",IF($J191&lt;0.5,"Hold - low volume",IF(LEFT($W191,3)="Low","Verify address",IF($G191="Needs review","Needs premise review",IF($X191="Estimated","Ready - address estimated","Ready"))))))</f>
        <v>Needs address</v>
      </c>
      <c r="P191" s="5"/>
      <c r="Q191" s="5" t="s">
        <v>45</v>
      </c>
      <c r="R191" s="5"/>
      <c r="S191" s="5"/>
      <c r="T191" s="7"/>
      <c r="U191" s="7"/>
      <c r="V191" s="5"/>
      <c r="W191" s="5"/>
      <c r="X191" s="5" t="s">
        <v>3</v>
      </c>
      <c r="Y191" s="8" t="str">
        <f aca="false">IF($C191&lt;&gt;"",TRIM($C191&amp;", "&amp;$D191&amp;", "&amp;$E191&amp;" "&amp;$F191),IF($R191&lt;&gt;"",$R191,IF($D191&lt;&gt;"",$D191&amp;", "&amp;$E191,$I191)))</f>
        <v>Colleyville, TX</v>
      </c>
    </row>
    <row r="192" customFormat="false" ht="15" hidden="false" customHeight="true" outlineLevel="0" collapsed="false">
      <c r="A192" s="5" t="s">
        <v>858</v>
      </c>
      <c r="B192" s="5" t="s">
        <v>858</v>
      </c>
      <c r="C192" s="5"/>
      <c r="D192" s="5" t="s">
        <v>859</v>
      </c>
      <c r="E192" s="5" t="s">
        <v>40</v>
      </c>
      <c r="F192" s="5"/>
      <c r="G192" s="5" t="s">
        <v>31</v>
      </c>
      <c r="H192" s="5" t="s">
        <v>157</v>
      </c>
      <c r="I192" s="5" t="s">
        <v>42</v>
      </c>
      <c r="J192" s="6" t="n">
        <v>2</v>
      </c>
      <c r="K192" s="5" t="s">
        <v>76</v>
      </c>
      <c r="L192" s="5" t="n">
        <f aca="false">IF($K192="",0,LEN($K192)-LEN(SUBSTITUTE($K192,",",""))+1)</f>
        <v>1</v>
      </c>
      <c r="M192" s="5" t="s">
        <v>44</v>
      </c>
      <c r="N192" s="5" t="str">
        <f aca="false">TRIM($A192&amp;" "&amp;IF($C192="",$R192,$C192&amp;" "&amp;$D192&amp;" "&amp;$E192&amp;" "&amp;$F192))</f>
        <v>Best Price Liquor</v>
      </c>
      <c r="O192" s="5" t="str">
        <f aca="false">IF($P192&lt;&gt;"","Exclude",IF(AND($M192&lt;&gt;"Full address",$R192=""),"Needs address",IF($J192&lt;0.5,"Hold - low volume",IF(LEFT($W192,3)="Low","Verify address",IF($G192="Needs review","Needs premise review",IF($X192="Estimated","Ready - address estimated","Ready"))))))</f>
        <v>Needs address</v>
      </c>
      <c r="P192" s="5"/>
      <c r="Q192" s="5" t="s">
        <v>45</v>
      </c>
      <c r="R192" s="5"/>
      <c r="S192" s="5"/>
      <c r="T192" s="7"/>
      <c r="U192" s="7"/>
      <c r="V192" s="5"/>
      <c r="W192" s="5"/>
      <c r="X192" s="5" t="s">
        <v>3</v>
      </c>
      <c r="Y192" s="8" t="str">
        <f aca="false">IF($C192&lt;&gt;"",TRIM($C192&amp;", "&amp;$D192&amp;", "&amp;$E192&amp;" "&amp;$F192),IF($R192&lt;&gt;"",$R192,IF($D192&lt;&gt;"",$D192&amp;", "&amp;$E192,$I192)))</f>
        <v>Abilene, TX</v>
      </c>
    </row>
    <row r="193" customFormat="false" ht="15" hidden="false" customHeight="true" outlineLevel="0" collapsed="false">
      <c r="A193" s="5" t="s">
        <v>860</v>
      </c>
      <c r="B193" s="5" t="s">
        <v>860</v>
      </c>
      <c r="C193" s="5"/>
      <c r="D193" s="5" t="s">
        <v>861</v>
      </c>
      <c r="E193" s="5" t="s">
        <v>40</v>
      </c>
      <c r="F193" s="5"/>
      <c r="G193" s="5" t="s">
        <v>31</v>
      </c>
      <c r="H193" s="5" t="s">
        <v>41</v>
      </c>
      <c r="I193" s="5" t="s">
        <v>42</v>
      </c>
      <c r="J193" s="6" t="n">
        <v>2</v>
      </c>
      <c r="K193" s="5" t="s">
        <v>770</v>
      </c>
      <c r="L193" s="5" t="n">
        <f aca="false">IF($K193="",0,LEN($K193)-LEN(SUBSTITUTE($K193,",",""))+1)</f>
        <v>2</v>
      </c>
      <c r="M193" s="5" t="s">
        <v>44</v>
      </c>
      <c r="N193" s="5" t="str">
        <f aca="false">TRIM($A193&amp;" "&amp;IF($C193="",$R193,$C193&amp;" "&amp;$D193&amp;" "&amp;$E193&amp;" "&amp;$F193))</f>
        <v>Black Jack Package Store</v>
      </c>
      <c r="O193" s="5" t="str">
        <f aca="false">IF($P193&lt;&gt;"","Exclude",IF(AND($M193&lt;&gt;"Full address",$R193=""),"Needs address",IF($J193&lt;0.5,"Hold - low volume",IF(LEFT($W193,3)="Low","Verify address",IF($G193="Needs review","Needs premise review",IF($X193="Estimated","Ready - address estimated","Ready"))))))</f>
        <v>Needs address</v>
      </c>
      <c r="P193" s="5"/>
      <c r="Q193" s="5" t="s">
        <v>45</v>
      </c>
      <c r="R193" s="5"/>
      <c r="S193" s="5"/>
      <c r="T193" s="7"/>
      <c r="U193" s="7"/>
      <c r="V193" s="5"/>
      <c r="W193" s="5"/>
      <c r="X193" s="5" t="s">
        <v>3</v>
      </c>
      <c r="Y193" s="8" t="str">
        <f aca="false">IF($C193&lt;&gt;"",TRIM($C193&amp;", "&amp;$D193&amp;", "&amp;$E193&amp;" "&amp;$F193),IF($R193&lt;&gt;"",$R193,IF($D193&lt;&gt;"",$D193&amp;", "&amp;$E193,$I193)))</f>
        <v>Cumby, TX</v>
      </c>
    </row>
    <row r="194" customFormat="false" ht="15" hidden="false" customHeight="true" outlineLevel="0" collapsed="false">
      <c r="A194" s="5" t="s">
        <v>862</v>
      </c>
      <c r="B194" s="5" t="s">
        <v>862</v>
      </c>
      <c r="C194" s="5"/>
      <c r="D194" s="5" t="s">
        <v>863</v>
      </c>
      <c r="E194" s="5" t="s">
        <v>40</v>
      </c>
      <c r="F194" s="5"/>
      <c r="G194" s="5" t="s">
        <v>144</v>
      </c>
      <c r="H194" s="5" t="s">
        <v>157</v>
      </c>
      <c r="I194" s="5" t="s">
        <v>42</v>
      </c>
      <c r="J194" s="6" t="n">
        <v>2</v>
      </c>
      <c r="K194" s="5" t="s">
        <v>770</v>
      </c>
      <c r="L194" s="5" t="n">
        <f aca="false">IF($K194="",0,LEN($K194)-LEN(SUBSTITUTE($K194,",",""))+1)</f>
        <v>2</v>
      </c>
      <c r="M194" s="5" t="s">
        <v>44</v>
      </c>
      <c r="N194" s="5" t="str">
        <f aca="false">TRIM($A194&amp;" "&amp;IF($C194="",$R194,$C194&amp;" "&amp;$D194&amp;" "&amp;$E194&amp;" "&amp;$F194))</f>
        <v>Goody Goody #19</v>
      </c>
      <c r="O194" s="5" t="str">
        <f aca="false">IF($P194&lt;&gt;"","Exclude",IF(AND($M194&lt;&gt;"Full address",$R194=""),"Needs address",IF($J194&lt;0.5,"Hold - low volume",IF(LEFT($W194,3)="Low","Verify address",IF($G194="Needs review","Needs premise review",IF($X194="Estimated","Ready - address estimated","Ready"))))))</f>
        <v>Needs address</v>
      </c>
      <c r="P194" s="5"/>
      <c r="Q194" s="5" t="s">
        <v>45</v>
      </c>
      <c r="R194" s="5"/>
      <c r="S194" s="5"/>
      <c r="T194" s="7"/>
      <c r="U194" s="7"/>
      <c r="V194" s="5"/>
      <c r="W194" s="5"/>
      <c r="X194" s="5" t="s">
        <v>3</v>
      </c>
      <c r="Y194" s="8" t="str">
        <f aca="false">IF($C194&lt;&gt;"",TRIM($C194&amp;", "&amp;$D194&amp;", "&amp;$E194&amp;" "&amp;$F194),IF($R194&lt;&gt;"",$R194,IF($D194&lt;&gt;"",$D194&amp;", "&amp;$E194,$I194)))</f>
        <v>Longview, TX</v>
      </c>
    </row>
    <row r="195" customFormat="false" ht="15" hidden="false" customHeight="true" outlineLevel="0" collapsed="false">
      <c r="A195" s="5" t="s">
        <v>864</v>
      </c>
      <c r="B195" s="5" t="s">
        <v>864</v>
      </c>
      <c r="C195" s="5"/>
      <c r="D195" s="5" t="s">
        <v>859</v>
      </c>
      <c r="E195" s="5" t="s">
        <v>40</v>
      </c>
      <c r="F195" s="5"/>
      <c r="G195" s="5" t="s">
        <v>31</v>
      </c>
      <c r="H195" s="5" t="s">
        <v>157</v>
      </c>
      <c r="I195" s="5" t="s">
        <v>42</v>
      </c>
      <c r="J195" s="6" t="n">
        <v>2</v>
      </c>
      <c r="K195" s="5" t="s">
        <v>63</v>
      </c>
      <c r="L195" s="5" t="n">
        <f aca="false">IF($K195="",0,LEN($K195)-LEN(SUBSTITUTE($K195,",",""))+1)</f>
        <v>2</v>
      </c>
      <c r="M195" s="5" t="s">
        <v>44</v>
      </c>
      <c r="N195" s="5" t="str">
        <f aca="false">TRIM($A195&amp;" "&amp;IF($C195="",$R195,$C195&amp;" "&amp;$D195&amp;" "&amp;$E195&amp;" "&amp;$F195))</f>
        <v>H and H Beverage Liquor Beer and Wine</v>
      </c>
      <c r="O195" s="5" t="str">
        <f aca="false">IF($P195&lt;&gt;"","Exclude",IF(AND($M195&lt;&gt;"Full address",$R195=""),"Needs address",IF($J195&lt;0.5,"Hold - low volume",IF(LEFT($W195,3)="Low","Verify address",IF($G195="Needs review","Needs premise review",IF($X195="Estimated","Ready - address estimated","Ready"))))))</f>
        <v>Needs address</v>
      </c>
      <c r="P195" s="5"/>
      <c r="Q195" s="5" t="s">
        <v>45</v>
      </c>
      <c r="R195" s="5"/>
      <c r="S195" s="5"/>
      <c r="T195" s="7"/>
      <c r="U195" s="7"/>
      <c r="V195" s="5"/>
      <c r="W195" s="5"/>
      <c r="X195" s="5" t="s">
        <v>3</v>
      </c>
      <c r="Y195" s="8" t="str">
        <f aca="false">IF($C195&lt;&gt;"",TRIM($C195&amp;", "&amp;$D195&amp;", "&amp;$E195&amp;" "&amp;$F195),IF($R195&lt;&gt;"",$R195,IF($D195&lt;&gt;"",$D195&amp;", "&amp;$E195,$I195)))</f>
        <v>Abilene, TX</v>
      </c>
    </row>
    <row r="196" customFormat="false" ht="15" hidden="false" customHeight="true" outlineLevel="0" collapsed="false">
      <c r="A196" s="5" t="s">
        <v>865</v>
      </c>
      <c r="B196" s="5" t="s">
        <v>865</v>
      </c>
      <c r="C196" s="5"/>
      <c r="D196" s="5" t="s">
        <v>354</v>
      </c>
      <c r="E196" s="5" t="s">
        <v>40</v>
      </c>
      <c r="F196" s="5"/>
      <c r="G196" s="5" t="s">
        <v>31</v>
      </c>
      <c r="H196" s="5" t="s">
        <v>41</v>
      </c>
      <c r="I196" s="5" t="s">
        <v>42</v>
      </c>
      <c r="J196" s="6" t="n">
        <v>2</v>
      </c>
      <c r="K196" s="5" t="s">
        <v>63</v>
      </c>
      <c r="L196" s="5" t="n">
        <f aca="false">IF($K196="",0,LEN($K196)-LEN(SUBSTITUTE($K196,",",""))+1)</f>
        <v>2</v>
      </c>
      <c r="M196" s="5" t="s">
        <v>44</v>
      </c>
      <c r="N196" s="5" t="str">
        <f aca="false">TRIM($A196&amp;" "&amp;IF($C196="",$R196,$C196&amp;" "&amp;$D196&amp;" "&amp;$E196&amp;" "&amp;$F196))</f>
        <v>Legacy Liquor &amp; Wine</v>
      </c>
      <c r="O196" s="5" t="str">
        <f aca="false">IF($P196&lt;&gt;"","Exclude",IF(AND($M196&lt;&gt;"Full address",$R196=""),"Needs address",IF($J196&lt;0.5,"Hold - low volume",IF(LEFT($W196,3)="Low","Verify address",IF($G196="Needs review","Needs premise review",IF($X196="Estimated","Ready - address estimated","Ready"))))))</f>
        <v>Needs address</v>
      </c>
      <c r="P196" s="5"/>
      <c r="Q196" s="5" t="s">
        <v>45</v>
      </c>
      <c r="R196" s="5"/>
      <c r="S196" s="5"/>
      <c r="T196" s="7"/>
      <c r="U196" s="7"/>
      <c r="V196" s="5"/>
      <c r="W196" s="5"/>
      <c r="X196" s="5" t="s">
        <v>3</v>
      </c>
      <c r="Y196" s="8" t="str">
        <f aca="false">IF($C196&lt;&gt;"",TRIM($C196&amp;", "&amp;$D196&amp;", "&amp;$E196&amp;" "&amp;$F196),IF($R196&lt;&gt;"",$R196,IF($D196&lt;&gt;"",$D196&amp;", "&amp;$E196,$I196)))</f>
        <v>Dallas, TX</v>
      </c>
    </row>
    <row r="197" customFormat="false" ht="15" hidden="false" customHeight="true" outlineLevel="0" collapsed="false">
      <c r="A197" s="5" t="s">
        <v>866</v>
      </c>
      <c r="B197" s="5" t="s">
        <v>866</v>
      </c>
      <c r="C197" s="5"/>
      <c r="D197" s="5" t="s">
        <v>867</v>
      </c>
      <c r="E197" s="5" t="s">
        <v>40</v>
      </c>
      <c r="F197" s="5"/>
      <c r="G197" s="5" t="s">
        <v>31</v>
      </c>
      <c r="H197" s="5" t="s">
        <v>360</v>
      </c>
      <c r="I197" s="5" t="s">
        <v>42</v>
      </c>
      <c r="J197" s="6" t="n">
        <v>2</v>
      </c>
      <c r="K197" s="5" t="s">
        <v>76</v>
      </c>
      <c r="L197" s="5" t="n">
        <f aca="false">IF($K197="",0,LEN($K197)-LEN(SUBSTITUTE($K197,",",""))+1)</f>
        <v>1</v>
      </c>
      <c r="M197" s="5" t="s">
        <v>44</v>
      </c>
      <c r="N197" s="5" t="str">
        <f aca="false">TRIM($A197&amp;" "&amp;IF($C197="",$R197,$C197&amp;" "&amp;$D197&amp;" "&amp;$E197&amp;" "&amp;$F197))</f>
        <v>Liquor 101</v>
      </c>
      <c r="O197" s="5" t="str">
        <f aca="false">IF($P197&lt;&gt;"","Exclude",IF(AND($M197&lt;&gt;"Full address",$R197=""),"Needs address",IF($J197&lt;0.5,"Hold - low volume",IF(LEFT($W197,3)="Low","Verify address",IF($G197="Needs review","Needs premise review",IF($X197="Estimated","Ready - address estimated","Ready"))))))</f>
        <v>Needs address</v>
      </c>
      <c r="P197" s="5"/>
      <c r="Q197" s="5" t="s">
        <v>45</v>
      </c>
      <c r="R197" s="5"/>
      <c r="S197" s="5"/>
      <c r="T197" s="7"/>
      <c r="U197" s="7"/>
      <c r="V197" s="5"/>
      <c r="W197" s="5"/>
      <c r="X197" s="5" t="s">
        <v>3</v>
      </c>
      <c r="Y197" s="8" t="str">
        <f aca="false">IF($C197&lt;&gt;"",TRIM($C197&amp;", "&amp;$D197&amp;", "&amp;$E197&amp;" "&amp;$F197),IF($R197&lt;&gt;"",$R197,IF($D197&lt;&gt;"",$D197&amp;", "&amp;$E197,$I197)))</f>
        <v>Alamo, TX</v>
      </c>
    </row>
    <row r="198" customFormat="false" ht="15" hidden="false" customHeight="true" outlineLevel="0" collapsed="false">
      <c r="A198" s="5" t="s">
        <v>868</v>
      </c>
      <c r="B198" s="5" t="s">
        <v>868</v>
      </c>
      <c r="C198" s="5"/>
      <c r="D198" s="5" t="s">
        <v>639</v>
      </c>
      <c r="E198" s="5" t="s">
        <v>40</v>
      </c>
      <c r="F198" s="5"/>
      <c r="G198" s="5" t="s">
        <v>31</v>
      </c>
      <c r="H198" s="5" t="s">
        <v>41</v>
      </c>
      <c r="I198" s="5" t="s">
        <v>42</v>
      </c>
      <c r="J198" s="6" t="n">
        <v>2</v>
      </c>
      <c r="K198" s="5" t="s">
        <v>34</v>
      </c>
      <c r="L198" s="5" t="n">
        <f aca="false">IF($K198="",0,LEN($K198)-LEN(SUBSTITUTE($K198,",",""))+1)</f>
        <v>3</v>
      </c>
      <c r="M198" s="5" t="s">
        <v>44</v>
      </c>
      <c r="N198" s="5" t="str">
        <f aca="false">TRIM($A198&amp;" "&amp;IF($C198="",$R198,$C198&amp;" "&amp;$D198&amp;" "&amp;$E198&amp;" "&amp;$F198))</f>
        <v>Liquor Depot (KMY) Arlington (AT&amp;T)</v>
      </c>
      <c r="O198" s="5" t="str">
        <f aca="false">IF($P198&lt;&gt;"","Exclude",IF(AND($M198&lt;&gt;"Full address",$R198=""),"Needs address",IF($J198&lt;0.5,"Hold - low volume",IF(LEFT($W198,3)="Low","Verify address",IF($G198="Needs review","Needs premise review",IF($X198="Estimated","Ready - address estimated","Ready"))))))</f>
        <v>Needs address</v>
      </c>
      <c r="P198" s="5"/>
      <c r="Q198" s="5" t="s">
        <v>45</v>
      </c>
      <c r="R198" s="5"/>
      <c r="S198" s="5"/>
      <c r="T198" s="7"/>
      <c r="U198" s="7"/>
      <c r="V198" s="5"/>
      <c r="W198" s="5"/>
      <c r="X198" s="5" t="s">
        <v>3</v>
      </c>
      <c r="Y198" s="8" t="str">
        <f aca="false">IF($C198&lt;&gt;"",TRIM($C198&amp;", "&amp;$D198&amp;", "&amp;$E198&amp;" "&amp;$F198),IF($R198&lt;&gt;"",$R198,IF($D198&lt;&gt;"",$D198&amp;", "&amp;$E198,$I198)))</f>
        <v>Arlington, TX</v>
      </c>
    </row>
    <row r="199" customFormat="false" ht="15" hidden="false" customHeight="true" outlineLevel="0" collapsed="false">
      <c r="A199" s="5" t="s">
        <v>869</v>
      </c>
      <c r="B199" s="5" t="s">
        <v>869</v>
      </c>
      <c r="C199" s="5"/>
      <c r="D199" s="5" t="s">
        <v>340</v>
      </c>
      <c r="E199" s="5" t="s">
        <v>40</v>
      </c>
      <c r="F199" s="5"/>
      <c r="G199" s="5" t="s">
        <v>31</v>
      </c>
      <c r="H199" s="5" t="s">
        <v>41</v>
      </c>
      <c r="I199" s="5" t="s">
        <v>42</v>
      </c>
      <c r="J199" s="6" t="n">
        <v>2</v>
      </c>
      <c r="K199" s="5" t="s">
        <v>770</v>
      </c>
      <c r="L199" s="5" t="n">
        <f aca="false">IF($K199="",0,LEN($K199)-LEN(SUBSTITUTE($K199,",",""))+1)</f>
        <v>2</v>
      </c>
      <c r="M199" s="5" t="s">
        <v>44</v>
      </c>
      <c r="N199" s="5" t="str">
        <f aca="false">TRIM($A199&amp;" "&amp;IF($C199="",$R199,$C199&amp;" "&amp;$D199&amp;" "&amp;$E199&amp;" "&amp;$F199))</f>
        <v>Liquor Depot (KMY) Bedford</v>
      </c>
      <c r="O199" s="5" t="str">
        <f aca="false">IF($P199&lt;&gt;"","Exclude",IF(AND($M199&lt;&gt;"Full address",$R199=""),"Needs address",IF($J199&lt;0.5,"Hold - low volume",IF(LEFT($W199,3)="Low","Verify address",IF($G199="Needs review","Needs premise review",IF($X199="Estimated","Ready - address estimated","Ready"))))))</f>
        <v>Needs address</v>
      </c>
      <c r="P199" s="5"/>
      <c r="Q199" s="5" t="s">
        <v>45</v>
      </c>
      <c r="R199" s="5"/>
      <c r="S199" s="5"/>
      <c r="T199" s="7"/>
      <c r="U199" s="7"/>
      <c r="V199" s="5"/>
      <c r="W199" s="5"/>
      <c r="X199" s="5" t="s">
        <v>3</v>
      </c>
      <c r="Y199" s="8" t="str">
        <f aca="false">IF($C199&lt;&gt;"",TRIM($C199&amp;", "&amp;$D199&amp;", "&amp;$E199&amp;" "&amp;$F199),IF($R199&lt;&gt;"",$R199,IF($D199&lt;&gt;"",$D199&amp;", "&amp;$E199,$I199)))</f>
        <v>Bedford, TX</v>
      </c>
    </row>
    <row r="200" customFormat="false" ht="15" hidden="false" customHeight="true" outlineLevel="0" collapsed="false">
      <c r="A200" s="5" t="s">
        <v>870</v>
      </c>
      <c r="B200" s="5" t="s">
        <v>870</v>
      </c>
      <c r="C200" s="5"/>
      <c r="D200" s="5" t="s">
        <v>871</v>
      </c>
      <c r="E200" s="5" t="s">
        <v>40</v>
      </c>
      <c r="F200" s="5"/>
      <c r="G200" s="5" t="s">
        <v>31</v>
      </c>
      <c r="H200" s="5" t="s">
        <v>41</v>
      </c>
      <c r="I200" s="5" t="s">
        <v>42</v>
      </c>
      <c r="J200" s="6" t="n">
        <v>2</v>
      </c>
      <c r="K200" s="5" t="s">
        <v>770</v>
      </c>
      <c r="L200" s="5" t="n">
        <f aca="false">IF($K200="",0,LEN($K200)-LEN(SUBSTITUTE($K200,",",""))+1)</f>
        <v>2</v>
      </c>
      <c r="M200" s="5" t="s">
        <v>44</v>
      </c>
      <c r="N200" s="5" t="str">
        <f aca="false">TRIM($A200&amp;" "&amp;IF($C200="",$R200,$C200&amp;" "&amp;$D200&amp;" "&amp;$E200&amp;" "&amp;$F200))</f>
        <v>Liquor Depot (KMY) Venus</v>
      </c>
      <c r="O200" s="5" t="str">
        <f aca="false">IF($P200&lt;&gt;"","Exclude",IF(AND($M200&lt;&gt;"Full address",$R200=""),"Needs address",IF($J200&lt;0.5,"Hold - low volume",IF(LEFT($W200,3)="Low","Verify address",IF($G200="Needs review","Needs premise review",IF($X200="Estimated","Ready - address estimated","Ready"))))))</f>
        <v>Needs address</v>
      </c>
      <c r="P200" s="5"/>
      <c r="Q200" s="5" t="s">
        <v>45</v>
      </c>
      <c r="R200" s="5"/>
      <c r="S200" s="5"/>
      <c r="T200" s="7"/>
      <c r="U200" s="7"/>
      <c r="V200" s="5"/>
      <c r="W200" s="5"/>
      <c r="X200" s="5" t="s">
        <v>3</v>
      </c>
      <c r="Y200" s="8" t="str">
        <f aca="false">IF($C200&lt;&gt;"",TRIM($C200&amp;", "&amp;$D200&amp;", "&amp;$E200&amp;" "&amp;$F200),IF($R200&lt;&gt;"",$R200,IF($D200&lt;&gt;"",$D200&amp;", "&amp;$E200,$I200)))</f>
        <v>Venus, TX</v>
      </c>
    </row>
    <row r="201" customFormat="false" ht="15" hidden="false" customHeight="true" outlineLevel="0" collapsed="false">
      <c r="A201" s="5" t="s">
        <v>872</v>
      </c>
      <c r="B201" s="5" t="s">
        <v>872</v>
      </c>
      <c r="C201" s="5"/>
      <c r="D201" s="5" t="s">
        <v>349</v>
      </c>
      <c r="E201" s="5" t="s">
        <v>40</v>
      </c>
      <c r="F201" s="5"/>
      <c r="G201" s="5" t="s">
        <v>31</v>
      </c>
      <c r="H201" s="5" t="s">
        <v>41</v>
      </c>
      <c r="I201" s="5" t="s">
        <v>42</v>
      </c>
      <c r="J201" s="6" t="n">
        <v>2</v>
      </c>
      <c r="K201" s="5" t="s">
        <v>63</v>
      </c>
      <c r="L201" s="5" t="n">
        <f aca="false">IF($K201="",0,LEN($K201)-LEN(SUBSTITUTE($K201,",",""))+1)</f>
        <v>2</v>
      </c>
      <c r="M201" s="5" t="s">
        <v>44</v>
      </c>
      <c r="N201" s="5" t="str">
        <f aca="false">TRIM($A201&amp;" "&amp;IF($C201="",$R201,$C201&amp;" "&amp;$D201&amp;" "&amp;$E201&amp;" "&amp;$F201))</f>
        <v>Liquor King #5</v>
      </c>
      <c r="O201" s="5" t="str">
        <f aca="false">IF($P201&lt;&gt;"","Exclude",IF(AND($M201&lt;&gt;"Full address",$R201=""),"Needs address",IF($J201&lt;0.5,"Hold - low volume",IF(LEFT($W201,3)="Low","Verify address",IF($G201="Needs review","Needs premise review",IF($X201="Estimated","Ready - address estimated","Ready"))))))</f>
        <v>Needs address</v>
      </c>
      <c r="P201" s="5"/>
      <c r="Q201" s="5" t="s">
        <v>45</v>
      </c>
      <c r="R201" s="5"/>
      <c r="S201" s="5"/>
      <c r="T201" s="7"/>
      <c r="U201" s="7"/>
      <c r="V201" s="5"/>
      <c r="W201" s="5"/>
      <c r="X201" s="5" t="s">
        <v>3</v>
      </c>
      <c r="Y201" s="8" t="str">
        <f aca="false">IF($C201&lt;&gt;"",TRIM($C201&amp;", "&amp;$D201&amp;", "&amp;$E201&amp;" "&amp;$F201),IF($R201&lt;&gt;"",$R201,IF($D201&lt;&gt;"",$D201&amp;", "&amp;$E201,$I201)))</f>
        <v>Fort Worth, TX</v>
      </c>
    </row>
    <row r="202" customFormat="false" ht="15" hidden="false" customHeight="true" outlineLevel="0" collapsed="false">
      <c r="A202" s="5" t="s">
        <v>873</v>
      </c>
      <c r="B202" s="5" t="s">
        <v>873</v>
      </c>
      <c r="C202" s="5"/>
      <c r="D202" s="5" t="s">
        <v>874</v>
      </c>
      <c r="E202" s="5" t="s">
        <v>40</v>
      </c>
      <c r="F202" s="5"/>
      <c r="G202" s="5" t="s">
        <v>31</v>
      </c>
      <c r="H202" s="5" t="s">
        <v>41</v>
      </c>
      <c r="I202" s="5" t="s">
        <v>42</v>
      </c>
      <c r="J202" s="6" t="n">
        <v>2</v>
      </c>
      <c r="K202" s="5" t="s">
        <v>63</v>
      </c>
      <c r="L202" s="5" t="n">
        <f aca="false">IF($K202="",0,LEN($K202)-LEN(SUBSTITUTE($K202,",",""))+1)</f>
        <v>2</v>
      </c>
      <c r="M202" s="5" t="s">
        <v>44</v>
      </c>
      <c r="N202" s="5" t="str">
        <f aca="false">TRIM($A202&amp;" "&amp;IF($C202="",$R202,$C202&amp;" "&amp;$D202&amp;" "&amp;$E202&amp;" "&amp;$F202))</f>
        <v>Liquor King #6 Frisco</v>
      </c>
      <c r="O202" s="5" t="str">
        <f aca="false">IF($P202&lt;&gt;"","Exclude",IF(AND($M202&lt;&gt;"Full address",$R202=""),"Needs address",IF($J202&lt;0.5,"Hold - low volume",IF(LEFT($W202,3)="Low","Verify address",IF($G202="Needs review","Needs premise review",IF($X202="Estimated","Ready - address estimated","Ready"))))))</f>
        <v>Needs address</v>
      </c>
      <c r="P202" s="5"/>
      <c r="Q202" s="5" t="s">
        <v>45</v>
      </c>
      <c r="R202" s="5"/>
      <c r="S202" s="5"/>
      <c r="T202" s="7"/>
      <c r="U202" s="7"/>
      <c r="V202" s="5"/>
      <c r="W202" s="5"/>
      <c r="X202" s="5" t="s">
        <v>3</v>
      </c>
      <c r="Y202" s="8" t="str">
        <f aca="false">IF($C202&lt;&gt;"",TRIM($C202&amp;", "&amp;$D202&amp;", "&amp;$E202&amp;" "&amp;$F202),IF($R202&lt;&gt;"",$R202,IF($D202&lt;&gt;"",$D202&amp;", "&amp;$E202,$I202)))</f>
        <v>Frisco, TX</v>
      </c>
    </row>
    <row r="203" customFormat="false" ht="15" hidden="false" customHeight="true" outlineLevel="0" collapsed="false">
      <c r="A203" s="5" t="s">
        <v>875</v>
      </c>
      <c r="B203" s="5" t="s">
        <v>875</v>
      </c>
      <c r="C203" s="5"/>
      <c r="D203" s="5" t="s">
        <v>876</v>
      </c>
      <c r="E203" s="5" t="s">
        <v>40</v>
      </c>
      <c r="F203" s="5"/>
      <c r="G203" s="5" t="s">
        <v>31</v>
      </c>
      <c r="H203" s="5" t="s">
        <v>41</v>
      </c>
      <c r="I203" s="5" t="s">
        <v>42</v>
      </c>
      <c r="J203" s="6" t="n">
        <v>2</v>
      </c>
      <c r="K203" s="5" t="s">
        <v>63</v>
      </c>
      <c r="L203" s="5" t="n">
        <f aca="false">IF($K203="",0,LEN($K203)-LEN(SUBSTITUTE($K203,",",""))+1)</f>
        <v>2</v>
      </c>
      <c r="M203" s="5" t="s">
        <v>44</v>
      </c>
      <c r="N203" s="5" t="str">
        <f aca="false">TRIM($A203&amp;" "&amp;IF($C203="",$R203,$C203&amp;" "&amp;$D203&amp;" "&amp;$E203&amp;" "&amp;$F203))</f>
        <v>Liquor Mart (Allen Exchange)</v>
      </c>
      <c r="O203" s="5" t="str">
        <f aca="false">IF($P203&lt;&gt;"","Exclude",IF(AND($M203&lt;&gt;"Full address",$R203=""),"Needs address",IF($J203&lt;0.5,"Hold - low volume",IF(LEFT($W203,3)="Low","Verify address",IF($G203="Needs review","Needs premise review",IF($X203="Estimated","Ready - address estimated","Ready"))))))</f>
        <v>Needs address</v>
      </c>
      <c r="P203" s="5"/>
      <c r="Q203" s="5" t="s">
        <v>45</v>
      </c>
      <c r="R203" s="5"/>
      <c r="S203" s="5"/>
      <c r="T203" s="7"/>
      <c r="U203" s="7"/>
      <c r="V203" s="5"/>
      <c r="W203" s="5"/>
      <c r="X203" s="5" t="s">
        <v>3</v>
      </c>
      <c r="Y203" s="8" t="str">
        <f aca="false">IF($C203&lt;&gt;"",TRIM($C203&amp;", "&amp;$D203&amp;", "&amp;$E203&amp;" "&amp;$F203),IF($R203&lt;&gt;"",$R203,IF($D203&lt;&gt;"",$D203&amp;", "&amp;$E203,$I203)))</f>
        <v>Allen, TX</v>
      </c>
    </row>
    <row r="204" customFormat="false" ht="15" hidden="false" customHeight="true" outlineLevel="0" collapsed="false">
      <c r="A204" s="5" t="s">
        <v>877</v>
      </c>
      <c r="B204" s="5" t="s">
        <v>877</v>
      </c>
      <c r="C204" s="5"/>
      <c r="D204" s="5" t="s">
        <v>855</v>
      </c>
      <c r="E204" s="5" t="s">
        <v>40</v>
      </c>
      <c r="F204" s="5"/>
      <c r="G204" s="5" t="s">
        <v>31</v>
      </c>
      <c r="H204" s="5" t="s">
        <v>157</v>
      </c>
      <c r="I204" s="5" t="s">
        <v>42</v>
      </c>
      <c r="J204" s="6" t="n">
        <v>2</v>
      </c>
      <c r="K204" s="5" t="s">
        <v>70</v>
      </c>
      <c r="L204" s="5" t="n">
        <f aca="false">IF($K204="",0,LEN($K204)-LEN(SUBSTITUTE($K204,",",""))+1)</f>
        <v>4</v>
      </c>
      <c r="M204" s="5" t="s">
        <v>44</v>
      </c>
      <c r="N204" s="5" t="str">
        <f aca="false">TRIM($A204&amp;" "&amp;IF($C204="",$R204,$C204&amp;" "&amp;$D204&amp;" "&amp;$E204&amp;" "&amp;$F204))</f>
        <v>Little York Liquor</v>
      </c>
      <c r="O204" s="5" t="str">
        <f aca="false">IF($P204&lt;&gt;"","Exclude",IF(AND($M204&lt;&gt;"Full address",$R204=""),"Needs address",IF($J204&lt;0.5,"Hold - low volume",IF(LEFT($W204,3)="Low","Verify address",IF($G204="Needs review","Needs premise review",IF($X204="Estimated","Ready - address estimated","Ready"))))))</f>
        <v>Needs address</v>
      </c>
      <c r="P204" s="5"/>
      <c r="Q204" s="5" t="s">
        <v>45</v>
      </c>
      <c r="R204" s="5"/>
      <c r="S204" s="5"/>
      <c r="T204" s="7"/>
      <c r="U204" s="7"/>
      <c r="V204" s="5"/>
      <c r="W204" s="5"/>
      <c r="X204" s="5" t="s">
        <v>3</v>
      </c>
      <c r="Y204" s="8" t="str">
        <f aca="false">IF($C204&lt;&gt;"",TRIM($C204&amp;", "&amp;$D204&amp;", "&amp;$E204&amp;" "&amp;$F204),IF($R204&lt;&gt;"",$R204,IF($D204&lt;&gt;"",$D204&amp;", "&amp;$E204,$I204)))</f>
        <v>Houston, TX</v>
      </c>
    </row>
    <row r="205" customFormat="false" ht="15" hidden="false" customHeight="true" outlineLevel="0" collapsed="false">
      <c r="A205" s="5" t="s">
        <v>878</v>
      </c>
      <c r="B205" s="5" t="s">
        <v>878</v>
      </c>
      <c r="C205" s="5"/>
      <c r="D205" s="5" t="s">
        <v>879</v>
      </c>
      <c r="E205" s="5" t="s">
        <v>40</v>
      </c>
      <c r="F205" s="5"/>
      <c r="G205" s="5" t="s">
        <v>31</v>
      </c>
      <c r="H205" s="5" t="s">
        <v>157</v>
      </c>
      <c r="I205" s="5" t="s">
        <v>42</v>
      </c>
      <c r="J205" s="6" t="n">
        <v>2</v>
      </c>
      <c r="K205" s="5" t="s">
        <v>63</v>
      </c>
      <c r="L205" s="5" t="n">
        <f aca="false">IF($K205="",0,LEN($K205)-LEN(SUBSTITUTE($K205,",",""))+1)</f>
        <v>2</v>
      </c>
      <c r="M205" s="5" t="s">
        <v>44</v>
      </c>
      <c r="N205" s="5" t="str">
        <f aca="false">TRIM($A205&amp;" "&amp;IF($C205="",$R205,$C205&amp;" "&amp;$D205&amp;" "&amp;$E205&amp;" "&amp;$F205))</f>
        <v>Lone Star Liquors (San Angelo)</v>
      </c>
      <c r="O205" s="5" t="str">
        <f aca="false">IF($P205&lt;&gt;"","Exclude",IF(AND($M205&lt;&gt;"Full address",$R205=""),"Needs address",IF($J205&lt;0.5,"Hold - low volume",IF(LEFT($W205,3)="Low","Verify address",IF($G205="Needs review","Needs premise review",IF($X205="Estimated","Ready - address estimated","Ready"))))))</f>
        <v>Needs address</v>
      </c>
      <c r="P205" s="5"/>
      <c r="Q205" s="5" t="s">
        <v>45</v>
      </c>
      <c r="R205" s="5"/>
      <c r="S205" s="5"/>
      <c r="T205" s="7"/>
      <c r="U205" s="7"/>
      <c r="V205" s="5"/>
      <c r="W205" s="5"/>
      <c r="X205" s="5" t="s">
        <v>3</v>
      </c>
      <c r="Y205" s="8" t="str">
        <f aca="false">IF($C205&lt;&gt;"",TRIM($C205&amp;", "&amp;$D205&amp;", "&amp;$E205&amp;" "&amp;$F205),IF($R205&lt;&gt;"",$R205,IF($D205&lt;&gt;"",$D205&amp;", "&amp;$E205,$I205)))</f>
        <v>San Angelo, TX</v>
      </c>
    </row>
    <row r="206" customFormat="false" ht="15" hidden="false" customHeight="true" outlineLevel="0" collapsed="false">
      <c r="A206" s="5" t="s">
        <v>880</v>
      </c>
      <c r="B206" s="5" t="s">
        <v>880</v>
      </c>
      <c r="C206" s="5"/>
      <c r="D206" s="5" t="s">
        <v>308</v>
      </c>
      <c r="E206" s="5" t="s">
        <v>40</v>
      </c>
      <c r="F206" s="5"/>
      <c r="G206" s="5" t="s">
        <v>144</v>
      </c>
      <c r="H206" s="5" t="s">
        <v>157</v>
      </c>
      <c r="I206" s="5" t="s">
        <v>42</v>
      </c>
      <c r="J206" s="6" t="n">
        <v>2</v>
      </c>
      <c r="K206" s="5" t="s">
        <v>76</v>
      </c>
      <c r="L206" s="5" t="n">
        <f aca="false">IF($K206="",0,LEN($K206)-LEN(SUBSTITUTE($K206,",",""))+1)</f>
        <v>1</v>
      </c>
      <c r="M206" s="5" t="s">
        <v>44</v>
      </c>
      <c r="N206" s="5" t="str">
        <f aca="false">TRIM($A206&amp;" "&amp;IF($C206="",$R206,$C206&amp;" "&amp;$D206&amp;" "&amp;$E206&amp;" "&amp;$F206))</f>
        <v>Party Stop # 1</v>
      </c>
      <c r="O206" s="5" t="str">
        <f aca="false">IF($P206&lt;&gt;"","Exclude",IF(AND($M206&lt;&gt;"Full address",$R206=""),"Needs address",IF($J206&lt;0.5,"Hold - low volume",IF(LEFT($W206,3)="Low","Verify address",IF($G206="Needs review","Needs premise review",IF($X206="Estimated","Ready - address estimated","Ready"))))))</f>
        <v>Needs address</v>
      </c>
      <c r="P206" s="5"/>
      <c r="Q206" s="5" t="s">
        <v>45</v>
      </c>
      <c r="R206" s="5"/>
      <c r="S206" s="5"/>
      <c r="T206" s="7"/>
      <c r="U206" s="7"/>
      <c r="V206" s="5"/>
      <c r="W206" s="5"/>
      <c r="X206" s="5" t="s">
        <v>3</v>
      </c>
      <c r="Y206" s="8" t="str">
        <f aca="false">IF($C206&lt;&gt;"",TRIM($C206&amp;", "&amp;$D206&amp;", "&amp;$E206&amp;" "&amp;$F206),IF($R206&lt;&gt;"",$R206,IF($D206&lt;&gt;"",$D206&amp;", "&amp;$E206,$I206)))</f>
        <v>Amarillo, TX</v>
      </c>
    </row>
    <row r="207" customFormat="false" ht="15" hidden="false" customHeight="true" outlineLevel="0" collapsed="false">
      <c r="A207" s="5" t="s">
        <v>881</v>
      </c>
      <c r="B207" s="5" t="s">
        <v>881</v>
      </c>
      <c r="C207" s="5"/>
      <c r="D207" s="5" t="s">
        <v>308</v>
      </c>
      <c r="E207" s="5" t="s">
        <v>40</v>
      </c>
      <c r="F207" s="5"/>
      <c r="G207" s="5" t="s">
        <v>31</v>
      </c>
      <c r="H207" s="5" t="s">
        <v>157</v>
      </c>
      <c r="I207" s="5" t="s">
        <v>42</v>
      </c>
      <c r="J207" s="6" t="n">
        <v>2</v>
      </c>
      <c r="K207" s="5" t="s">
        <v>63</v>
      </c>
      <c r="L207" s="5" t="n">
        <f aca="false">IF($K207="",0,LEN($K207)-LEN(SUBSTITUTE($K207,",",""))+1)</f>
        <v>2</v>
      </c>
      <c r="M207" s="5" t="s">
        <v>44</v>
      </c>
      <c r="N207" s="5" t="str">
        <f aca="false">TRIM($A207&amp;" "&amp;IF($C207="",$R207,$C207&amp;" "&amp;$D207&amp;" "&amp;$E207&amp;" "&amp;$F207))</f>
        <v>Pokey's Liquors</v>
      </c>
      <c r="O207" s="5" t="str">
        <f aca="false">IF($P207&lt;&gt;"","Exclude",IF(AND($M207&lt;&gt;"Full address",$R207=""),"Needs address",IF($J207&lt;0.5,"Hold - low volume",IF(LEFT($W207,3)="Low","Verify address",IF($G207="Needs review","Needs premise review",IF($X207="Estimated","Ready - address estimated","Ready"))))))</f>
        <v>Needs address</v>
      </c>
      <c r="P207" s="5"/>
      <c r="Q207" s="5" t="s">
        <v>45</v>
      </c>
      <c r="R207" s="5"/>
      <c r="S207" s="5"/>
      <c r="T207" s="7"/>
      <c r="U207" s="7"/>
      <c r="V207" s="5"/>
      <c r="W207" s="5"/>
      <c r="X207" s="5" t="s">
        <v>3</v>
      </c>
      <c r="Y207" s="8" t="str">
        <f aca="false">IF($C207&lt;&gt;"",TRIM($C207&amp;", "&amp;$D207&amp;", "&amp;$E207&amp;" "&amp;$F207),IF($R207&lt;&gt;"",$R207,IF($D207&lt;&gt;"",$D207&amp;", "&amp;$E207,$I207)))</f>
        <v>Amarillo, TX</v>
      </c>
    </row>
    <row r="208" customFormat="false" ht="15" hidden="false" customHeight="true" outlineLevel="0" collapsed="false">
      <c r="A208" s="5" t="s">
        <v>882</v>
      </c>
      <c r="B208" s="5" t="s">
        <v>882</v>
      </c>
      <c r="C208" s="5"/>
      <c r="D208" s="5" t="s">
        <v>855</v>
      </c>
      <c r="E208" s="5" t="s">
        <v>40</v>
      </c>
      <c r="F208" s="5"/>
      <c r="G208" s="5" t="s">
        <v>31</v>
      </c>
      <c r="H208" s="5" t="s">
        <v>157</v>
      </c>
      <c r="I208" s="5" t="s">
        <v>42</v>
      </c>
      <c r="J208" s="6" t="n">
        <v>2</v>
      </c>
      <c r="K208" s="5" t="s">
        <v>63</v>
      </c>
      <c r="L208" s="5" t="n">
        <f aca="false">IF($K208="",0,LEN($K208)-LEN(SUBSTITUTE($K208,",",""))+1)</f>
        <v>2</v>
      </c>
      <c r="M208" s="5" t="s">
        <v>44</v>
      </c>
      <c r="N208" s="5" t="str">
        <f aca="false">TRIM($A208&amp;" "&amp;IF($C208="",$R208,$C208&amp;" "&amp;$D208&amp;" "&amp;$E208&amp;" "&amp;$F208))</f>
        <v>Primo's Liquor &amp; More</v>
      </c>
      <c r="O208" s="5" t="str">
        <f aca="false">IF($P208&lt;&gt;"","Exclude",IF(AND($M208&lt;&gt;"Full address",$R208=""),"Needs address",IF($J208&lt;0.5,"Hold - low volume",IF(LEFT($W208,3)="Low","Verify address",IF($G208="Needs review","Needs premise review",IF($X208="Estimated","Ready - address estimated","Ready"))))))</f>
        <v>Needs address</v>
      </c>
      <c r="P208" s="5"/>
      <c r="Q208" s="5" t="s">
        <v>45</v>
      </c>
      <c r="R208" s="5"/>
      <c r="S208" s="5"/>
      <c r="T208" s="7"/>
      <c r="U208" s="7"/>
      <c r="V208" s="5"/>
      <c r="W208" s="5"/>
      <c r="X208" s="5" t="s">
        <v>3</v>
      </c>
      <c r="Y208" s="8" t="str">
        <f aca="false">IF($C208&lt;&gt;"",TRIM($C208&amp;", "&amp;$D208&amp;", "&amp;$E208&amp;" "&amp;$F208),IF($R208&lt;&gt;"",$R208,IF($D208&lt;&gt;"",$D208&amp;", "&amp;$E208,$I208)))</f>
        <v>Houston, TX</v>
      </c>
    </row>
    <row r="209" customFormat="false" ht="15" hidden="false" customHeight="true" outlineLevel="0" collapsed="false">
      <c r="A209" s="5" t="s">
        <v>883</v>
      </c>
      <c r="B209" s="5" t="s">
        <v>883</v>
      </c>
      <c r="C209" s="5"/>
      <c r="D209" s="5" t="s">
        <v>855</v>
      </c>
      <c r="E209" s="5" t="s">
        <v>40</v>
      </c>
      <c r="F209" s="5"/>
      <c r="G209" s="5" t="s">
        <v>144</v>
      </c>
      <c r="H209" s="5" t="s">
        <v>157</v>
      </c>
      <c r="I209" s="5" t="s">
        <v>42</v>
      </c>
      <c r="J209" s="6" t="n">
        <v>2</v>
      </c>
      <c r="K209" s="5" t="s">
        <v>63</v>
      </c>
      <c r="L209" s="5" t="n">
        <f aca="false">IF($K209="",0,LEN($K209)-LEN(SUBSTITUTE($K209,",",""))+1)</f>
        <v>2</v>
      </c>
      <c r="M209" s="5" t="s">
        <v>44</v>
      </c>
      <c r="N209" s="5" t="str">
        <f aca="false">TRIM($A209&amp;" "&amp;IF($C209="",$R209,$C209&amp;" "&amp;$D209&amp;" "&amp;$E209&amp;" "&amp;$F209))</f>
        <v>Spec's #002 Westheimer at Kirkwood</v>
      </c>
      <c r="O209" s="5" t="str">
        <f aca="false">IF($P209&lt;&gt;"","Exclude",IF(AND($M209&lt;&gt;"Full address",$R209=""),"Needs address",IF($J209&lt;0.5,"Hold - low volume",IF(LEFT($W209,3)="Low","Verify address",IF($G209="Needs review","Needs premise review",IF($X209="Estimated","Ready - address estimated","Ready"))))))</f>
        <v>Needs address</v>
      </c>
      <c r="P209" s="5"/>
      <c r="Q209" s="5" t="s">
        <v>45</v>
      </c>
      <c r="R209" s="5"/>
      <c r="S209" s="5"/>
      <c r="T209" s="7"/>
      <c r="U209" s="7"/>
      <c r="V209" s="5"/>
      <c r="W209" s="5"/>
      <c r="X209" s="5" t="s">
        <v>3</v>
      </c>
      <c r="Y209" s="8" t="str">
        <f aca="false">IF($C209&lt;&gt;"",TRIM($C209&amp;", "&amp;$D209&amp;", "&amp;$E209&amp;" "&amp;$F209),IF($R209&lt;&gt;"",$R209,IF($D209&lt;&gt;"",$D209&amp;", "&amp;$E209,$I209)))</f>
        <v>Houston, TX</v>
      </c>
    </row>
    <row r="210" customFormat="false" ht="15" hidden="false" customHeight="true" outlineLevel="0" collapsed="false">
      <c r="A210" s="5" t="s">
        <v>884</v>
      </c>
      <c r="B210" s="5" t="s">
        <v>884</v>
      </c>
      <c r="C210" s="5"/>
      <c r="D210" s="5" t="s">
        <v>885</v>
      </c>
      <c r="E210" s="5" t="s">
        <v>40</v>
      </c>
      <c r="F210" s="5"/>
      <c r="G210" s="5" t="s">
        <v>144</v>
      </c>
      <c r="H210" s="5" t="s">
        <v>157</v>
      </c>
      <c r="I210" s="5" t="s">
        <v>42</v>
      </c>
      <c r="J210" s="6" t="n">
        <v>2</v>
      </c>
      <c r="K210" s="5" t="s">
        <v>63</v>
      </c>
      <c r="L210" s="5" t="n">
        <f aca="false">IF($K210="",0,LEN($K210)-LEN(SUBSTITUTE($K210,",",""))+1)</f>
        <v>2</v>
      </c>
      <c r="M210" s="5" t="s">
        <v>44</v>
      </c>
      <c r="N210" s="5" t="str">
        <f aca="false">TRIM($A210&amp;" "&amp;IF($C210="",$R210,$C210&amp;" "&amp;$D210&amp;" "&amp;$E210&amp;" "&amp;$F210))</f>
        <v>Spec's #008 Katy - Mason</v>
      </c>
      <c r="O210" s="5" t="str">
        <f aca="false">IF($P210&lt;&gt;"","Exclude",IF(AND($M210&lt;&gt;"Full address",$R210=""),"Needs address",IF($J210&lt;0.5,"Hold - low volume",IF(LEFT($W210,3)="Low","Verify address",IF($G210="Needs review","Needs premise review",IF($X210="Estimated","Ready - address estimated","Ready"))))))</f>
        <v>Needs address</v>
      </c>
      <c r="P210" s="5"/>
      <c r="Q210" s="5" t="s">
        <v>45</v>
      </c>
      <c r="R210" s="5"/>
      <c r="S210" s="5"/>
      <c r="T210" s="7"/>
      <c r="U210" s="7"/>
      <c r="V210" s="5"/>
      <c r="W210" s="5"/>
      <c r="X210" s="5" t="s">
        <v>3</v>
      </c>
      <c r="Y210" s="8" t="str">
        <f aca="false">IF($C210&lt;&gt;"",TRIM($C210&amp;", "&amp;$D210&amp;", "&amp;$E210&amp;" "&amp;$F210),IF($R210&lt;&gt;"",$R210,IF($D210&lt;&gt;"",$D210&amp;", "&amp;$E210,$I210)))</f>
        <v>Katy, TX</v>
      </c>
    </row>
    <row r="211" customFormat="false" ht="15" hidden="false" customHeight="true" outlineLevel="0" collapsed="false">
      <c r="A211" s="5" t="s">
        <v>886</v>
      </c>
      <c r="B211" s="5" t="s">
        <v>886</v>
      </c>
      <c r="C211" s="5"/>
      <c r="D211" s="5" t="s">
        <v>855</v>
      </c>
      <c r="E211" s="5" t="s">
        <v>40</v>
      </c>
      <c r="F211" s="5"/>
      <c r="G211" s="5" t="s">
        <v>144</v>
      </c>
      <c r="H211" s="5" t="s">
        <v>157</v>
      </c>
      <c r="I211" s="5" t="s">
        <v>42</v>
      </c>
      <c r="J211" s="6" t="n">
        <v>2</v>
      </c>
      <c r="K211" s="5" t="s">
        <v>63</v>
      </c>
      <c r="L211" s="5" t="n">
        <f aca="false">IF($K211="",0,LEN($K211)-LEN(SUBSTITUTE($K211,",",""))+1)</f>
        <v>2</v>
      </c>
      <c r="M211" s="5" t="s">
        <v>44</v>
      </c>
      <c r="N211" s="5" t="str">
        <f aca="false">TRIM($A211&amp;" "&amp;IF($C211="",$R211,$C211&amp;" "&amp;$D211&amp;" "&amp;$E211&amp;" "&amp;$F211))</f>
        <v>Spec's #023 Galleria</v>
      </c>
      <c r="O211" s="5" t="str">
        <f aca="false">IF($P211&lt;&gt;"","Exclude",IF(AND($M211&lt;&gt;"Full address",$R211=""),"Needs address",IF($J211&lt;0.5,"Hold - low volume",IF(LEFT($W211,3)="Low","Verify address",IF($G211="Needs review","Needs premise review",IF($X211="Estimated","Ready - address estimated","Ready"))))))</f>
        <v>Needs address</v>
      </c>
      <c r="P211" s="5"/>
      <c r="Q211" s="5" t="s">
        <v>45</v>
      </c>
      <c r="R211" s="5"/>
      <c r="S211" s="5"/>
      <c r="T211" s="7"/>
      <c r="U211" s="7"/>
      <c r="V211" s="5"/>
      <c r="W211" s="5"/>
      <c r="X211" s="5" t="s">
        <v>3</v>
      </c>
      <c r="Y211" s="8" t="str">
        <f aca="false">IF($C211&lt;&gt;"",TRIM($C211&amp;", "&amp;$D211&amp;", "&amp;$E211&amp;" "&amp;$F211),IF($R211&lt;&gt;"",$R211,IF($D211&lt;&gt;"",$D211&amp;", "&amp;$E211,$I211)))</f>
        <v>Houston, TX</v>
      </c>
    </row>
    <row r="212" customFormat="false" ht="15" hidden="false" customHeight="true" outlineLevel="0" collapsed="false">
      <c r="A212" s="5" t="s">
        <v>887</v>
      </c>
      <c r="B212" s="5" t="s">
        <v>887</v>
      </c>
      <c r="C212" s="5"/>
      <c r="D212" s="5" t="s">
        <v>359</v>
      </c>
      <c r="E212" s="5" t="s">
        <v>40</v>
      </c>
      <c r="F212" s="5"/>
      <c r="G212" s="5" t="s">
        <v>144</v>
      </c>
      <c r="H212" s="5" t="s">
        <v>360</v>
      </c>
      <c r="I212" s="5" t="s">
        <v>42</v>
      </c>
      <c r="J212" s="6" t="n">
        <v>2</v>
      </c>
      <c r="K212" s="5" t="s">
        <v>63</v>
      </c>
      <c r="L212" s="5" t="n">
        <f aca="false">IF($K212="",0,LEN($K212)-LEN(SUBSTITUTE($K212,",",""))+1)</f>
        <v>2</v>
      </c>
      <c r="M212" s="5" t="s">
        <v>44</v>
      </c>
      <c r="N212" s="5" t="str">
        <f aca="false">TRIM($A212&amp;" "&amp;IF($C212="",$R212,$C212&amp;" "&amp;$D212&amp;" "&amp;$E212&amp;" "&amp;$F212))</f>
        <v>Spec's #110 San Antonio - The Vineyard</v>
      </c>
      <c r="O212" s="5" t="str">
        <f aca="false">IF($P212&lt;&gt;"","Exclude",IF(AND($M212&lt;&gt;"Full address",$R212=""),"Needs address",IF($J212&lt;0.5,"Hold - low volume",IF(LEFT($W212,3)="Low","Verify address",IF($G212="Needs review","Needs premise review",IF($X212="Estimated","Ready - address estimated","Ready"))))))</f>
        <v>Needs address</v>
      </c>
      <c r="P212" s="5"/>
      <c r="Q212" s="5" t="s">
        <v>45</v>
      </c>
      <c r="R212" s="5"/>
      <c r="S212" s="5"/>
      <c r="T212" s="7"/>
      <c r="U212" s="7"/>
      <c r="V212" s="5"/>
      <c r="W212" s="5"/>
      <c r="X212" s="5" t="s">
        <v>3</v>
      </c>
      <c r="Y212" s="8" t="str">
        <f aca="false">IF($C212&lt;&gt;"",TRIM($C212&amp;", "&amp;$D212&amp;", "&amp;$E212&amp;" "&amp;$F212),IF($R212&lt;&gt;"",$R212,IF($D212&lt;&gt;"",$D212&amp;", "&amp;$E212,$I212)))</f>
        <v>San Antonio, TX</v>
      </c>
    </row>
    <row r="213" customFormat="false" ht="15" hidden="false" customHeight="true" outlineLevel="0" collapsed="false">
      <c r="A213" s="5" t="s">
        <v>888</v>
      </c>
      <c r="B213" s="5" t="s">
        <v>888</v>
      </c>
      <c r="C213" s="5"/>
      <c r="D213" s="5" t="s">
        <v>889</v>
      </c>
      <c r="E213" s="5" t="s">
        <v>40</v>
      </c>
      <c r="F213" s="5"/>
      <c r="G213" s="5" t="s">
        <v>144</v>
      </c>
      <c r="H213" s="5" t="s">
        <v>360</v>
      </c>
      <c r="I213" s="5" t="s">
        <v>42</v>
      </c>
      <c r="J213" s="6" t="n">
        <v>2</v>
      </c>
      <c r="K213" s="5" t="s">
        <v>63</v>
      </c>
      <c r="L213" s="5" t="n">
        <f aca="false">IF($K213="",0,LEN($K213)-LEN(SUBSTITUTE($K213,",",""))+1)</f>
        <v>2</v>
      </c>
      <c r="M213" s="5" t="s">
        <v>44</v>
      </c>
      <c r="N213" s="5" t="str">
        <f aca="false">TRIM($A213&amp;" "&amp;IF($C213="",$R213,$C213&amp;" "&amp;$D213&amp;" "&amp;$E213&amp;" "&amp;$F213))</f>
        <v>Spec's #114 San Marcos</v>
      </c>
      <c r="O213" s="5" t="str">
        <f aca="false">IF($P213&lt;&gt;"","Exclude",IF(AND($M213&lt;&gt;"Full address",$R213=""),"Needs address",IF($J213&lt;0.5,"Hold - low volume",IF(LEFT($W213,3)="Low","Verify address",IF($G213="Needs review","Needs premise review",IF($X213="Estimated","Ready - address estimated","Ready"))))))</f>
        <v>Needs address</v>
      </c>
      <c r="P213" s="5"/>
      <c r="Q213" s="5" t="s">
        <v>45</v>
      </c>
      <c r="R213" s="5"/>
      <c r="S213" s="5"/>
      <c r="T213" s="7"/>
      <c r="U213" s="7"/>
      <c r="V213" s="5"/>
      <c r="W213" s="5"/>
      <c r="X213" s="5" t="s">
        <v>3</v>
      </c>
      <c r="Y213" s="8" t="str">
        <f aca="false">IF($C213&lt;&gt;"",TRIM($C213&amp;", "&amp;$D213&amp;", "&amp;$E213&amp;" "&amp;$F213),IF($R213&lt;&gt;"",$R213,IF($D213&lt;&gt;"",$D213&amp;", "&amp;$E213,$I213)))</f>
        <v>San Marcos, TX</v>
      </c>
    </row>
    <row r="214" customFormat="false" ht="15" hidden="false" customHeight="true" outlineLevel="0" collapsed="false">
      <c r="A214" s="5" t="s">
        <v>890</v>
      </c>
      <c r="B214" s="5" t="s">
        <v>890</v>
      </c>
      <c r="C214" s="5"/>
      <c r="D214" s="5" t="s">
        <v>891</v>
      </c>
      <c r="E214" s="5" t="s">
        <v>40</v>
      </c>
      <c r="F214" s="5"/>
      <c r="G214" s="5" t="s">
        <v>144</v>
      </c>
      <c r="H214" s="5" t="s">
        <v>41</v>
      </c>
      <c r="I214" s="5" t="s">
        <v>42</v>
      </c>
      <c r="J214" s="6" t="n">
        <v>2</v>
      </c>
      <c r="K214" s="5" t="s">
        <v>426</v>
      </c>
      <c r="L214" s="5" t="n">
        <f aca="false">IF($K214="",0,LEN($K214)-LEN(SUBSTITUTE($K214,",",""))+1)</f>
        <v>1</v>
      </c>
      <c r="M214" s="5" t="s">
        <v>44</v>
      </c>
      <c r="N214" s="5" t="str">
        <f aca="false">TRIM($A214&amp;" "&amp;IF($C214="",$R214,$C214&amp;" "&amp;$D214&amp;" "&amp;$E214&amp;" "&amp;$F214))</f>
        <v>Spec's #128 Addison</v>
      </c>
      <c r="O214" s="5" t="str">
        <f aca="false">IF($P214&lt;&gt;"","Exclude",IF(AND($M214&lt;&gt;"Full address",$R214=""),"Needs address",IF($J214&lt;0.5,"Hold - low volume",IF(LEFT($W214,3)="Low","Verify address",IF($G214="Needs review","Needs premise review",IF($X214="Estimated","Ready - address estimated","Ready"))))))</f>
        <v>Needs address</v>
      </c>
      <c r="P214" s="5"/>
      <c r="Q214" s="5" t="s">
        <v>45</v>
      </c>
      <c r="R214" s="5"/>
      <c r="S214" s="5"/>
      <c r="T214" s="7"/>
      <c r="U214" s="7"/>
      <c r="V214" s="5"/>
      <c r="W214" s="5"/>
      <c r="X214" s="5" t="s">
        <v>3</v>
      </c>
      <c r="Y214" s="8" t="str">
        <f aca="false">IF($C214&lt;&gt;"",TRIM($C214&amp;", "&amp;$D214&amp;", "&amp;$E214&amp;" "&amp;$F214),IF($R214&lt;&gt;"",$R214,IF($D214&lt;&gt;"",$D214&amp;", "&amp;$E214,$I214)))</f>
        <v>Addison, TX</v>
      </c>
    </row>
    <row r="215" customFormat="false" ht="15" hidden="false" customHeight="true" outlineLevel="0" collapsed="false">
      <c r="A215" s="5" t="s">
        <v>892</v>
      </c>
      <c r="B215" s="5" t="s">
        <v>892</v>
      </c>
      <c r="C215" s="5"/>
      <c r="D215" s="5" t="s">
        <v>893</v>
      </c>
      <c r="E215" s="5" t="s">
        <v>40</v>
      </c>
      <c r="F215" s="5"/>
      <c r="G215" s="5" t="s">
        <v>144</v>
      </c>
      <c r="H215" s="5" t="s">
        <v>41</v>
      </c>
      <c r="I215" s="5" t="s">
        <v>42</v>
      </c>
      <c r="J215" s="6" t="n">
        <v>2</v>
      </c>
      <c r="K215" s="5" t="s">
        <v>426</v>
      </c>
      <c r="L215" s="5" t="n">
        <f aca="false">IF($K215="",0,LEN($K215)-LEN(SUBSTITUTE($K215,",",""))+1)</f>
        <v>1</v>
      </c>
      <c r="M215" s="5" t="s">
        <v>44</v>
      </c>
      <c r="N215" s="5" t="str">
        <f aca="false">TRIM($A215&amp;" "&amp;IF($C215="",$R215,$C215&amp;" "&amp;$D215&amp;" "&amp;$E215&amp;" "&amp;$F215))</f>
        <v>Spec's #143 Sherman</v>
      </c>
      <c r="O215" s="5" t="str">
        <f aca="false">IF($P215&lt;&gt;"","Exclude",IF(AND($M215&lt;&gt;"Full address",$R215=""),"Needs address",IF($J215&lt;0.5,"Hold - low volume",IF(LEFT($W215,3)="Low","Verify address",IF($G215="Needs review","Needs premise review",IF($X215="Estimated","Ready - address estimated","Ready"))))))</f>
        <v>Needs address</v>
      </c>
      <c r="P215" s="5"/>
      <c r="Q215" s="5" t="s">
        <v>45</v>
      </c>
      <c r="R215" s="5"/>
      <c r="S215" s="5"/>
      <c r="T215" s="7"/>
      <c r="U215" s="7"/>
      <c r="V215" s="5"/>
      <c r="W215" s="5"/>
      <c r="X215" s="5" t="s">
        <v>3</v>
      </c>
      <c r="Y215" s="8" t="str">
        <f aca="false">IF($C215&lt;&gt;"",TRIM($C215&amp;", "&amp;$D215&amp;", "&amp;$E215&amp;" "&amp;$F215),IF($R215&lt;&gt;"",$R215,IF($D215&lt;&gt;"",$D215&amp;", "&amp;$E215,$I215)))</f>
        <v>Sherman, TX</v>
      </c>
    </row>
    <row r="216" customFormat="false" ht="15" hidden="false" customHeight="true" outlineLevel="0" collapsed="false">
      <c r="A216" s="5" t="s">
        <v>894</v>
      </c>
      <c r="B216" s="5" t="s">
        <v>894</v>
      </c>
      <c r="C216" s="5"/>
      <c r="D216" s="5" t="s">
        <v>354</v>
      </c>
      <c r="E216" s="5" t="s">
        <v>40</v>
      </c>
      <c r="F216" s="5"/>
      <c r="G216" s="5" t="s">
        <v>144</v>
      </c>
      <c r="H216" s="5" t="s">
        <v>41</v>
      </c>
      <c r="I216" s="5" t="s">
        <v>42</v>
      </c>
      <c r="J216" s="6" t="n">
        <v>2</v>
      </c>
      <c r="K216" s="5" t="s">
        <v>63</v>
      </c>
      <c r="L216" s="5" t="n">
        <f aca="false">IF($K216="",0,LEN($K216)-LEN(SUBSTITUTE($K216,",",""))+1)</f>
        <v>2</v>
      </c>
      <c r="M216" s="5" t="s">
        <v>44</v>
      </c>
      <c r="N216" s="5" t="str">
        <f aca="false">TRIM($A216&amp;" "&amp;IF($C216="",$R216,$C216&amp;" "&amp;$D216&amp;" "&amp;$E216&amp;" "&amp;$F216))</f>
        <v>Spec's #156 Marsh Lane</v>
      </c>
      <c r="O216" s="5" t="str">
        <f aca="false">IF($P216&lt;&gt;"","Exclude",IF(AND($M216&lt;&gt;"Full address",$R216=""),"Needs address",IF($J216&lt;0.5,"Hold - low volume",IF(LEFT($W216,3)="Low","Verify address",IF($G216="Needs review","Needs premise review",IF($X216="Estimated","Ready - address estimated","Ready"))))))</f>
        <v>Needs address</v>
      </c>
      <c r="P216" s="5"/>
      <c r="Q216" s="5" t="s">
        <v>45</v>
      </c>
      <c r="R216" s="5"/>
      <c r="S216" s="5"/>
      <c r="T216" s="7"/>
      <c r="U216" s="7"/>
      <c r="V216" s="5"/>
      <c r="W216" s="5"/>
      <c r="X216" s="5" t="s">
        <v>3</v>
      </c>
      <c r="Y216" s="8" t="str">
        <f aca="false">IF($C216&lt;&gt;"",TRIM($C216&amp;", "&amp;$D216&amp;", "&amp;$E216&amp;" "&amp;$F216),IF($R216&lt;&gt;"",$R216,IF($D216&lt;&gt;"",$D216&amp;", "&amp;$E216,$I216)))</f>
        <v>Dallas, TX</v>
      </c>
    </row>
    <row r="217" customFormat="false" ht="15" hidden="false" customHeight="true" outlineLevel="0" collapsed="false">
      <c r="A217" s="5" t="s">
        <v>895</v>
      </c>
      <c r="B217" s="5" t="s">
        <v>895</v>
      </c>
      <c r="C217" s="5"/>
      <c r="D217" s="5" t="s">
        <v>271</v>
      </c>
      <c r="E217" s="5" t="s">
        <v>40</v>
      </c>
      <c r="F217" s="5"/>
      <c r="G217" s="5" t="s">
        <v>144</v>
      </c>
      <c r="H217" s="5" t="s">
        <v>157</v>
      </c>
      <c r="I217" s="5" t="s">
        <v>42</v>
      </c>
      <c r="J217" s="6" t="n">
        <v>2</v>
      </c>
      <c r="K217" s="5" t="s">
        <v>63</v>
      </c>
      <c r="L217" s="5" t="n">
        <f aca="false">IF($K217="",0,LEN($K217)-LEN(SUBSTITUTE($K217,",",""))+1)</f>
        <v>2</v>
      </c>
      <c r="M217" s="5" t="s">
        <v>44</v>
      </c>
      <c r="N217" s="5" t="str">
        <f aca="false">TRIM($A217&amp;" "&amp;IF($C217="",$R217,$C217&amp;" "&amp;$D217&amp;" "&amp;$E217&amp;" "&amp;$F217))</f>
        <v>Spec's #208 El Paso Eastlake</v>
      </c>
      <c r="O217" s="5" t="str">
        <f aca="false">IF($P217&lt;&gt;"","Exclude",IF(AND($M217&lt;&gt;"Full address",$R217=""),"Needs address",IF($J217&lt;0.5,"Hold - low volume",IF(LEFT($W217,3)="Low","Verify address",IF($G217="Needs review","Needs premise review",IF($X217="Estimated","Ready - address estimated","Ready"))))))</f>
        <v>Needs address</v>
      </c>
      <c r="P217" s="5"/>
      <c r="Q217" s="5" t="s">
        <v>45</v>
      </c>
      <c r="R217" s="5"/>
      <c r="S217" s="5"/>
      <c r="T217" s="7"/>
      <c r="U217" s="7"/>
      <c r="V217" s="5"/>
      <c r="W217" s="5"/>
      <c r="X217" s="5" t="s">
        <v>3</v>
      </c>
      <c r="Y217" s="8" t="str">
        <f aca="false">IF($C217&lt;&gt;"",TRIM($C217&amp;", "&amp;$D217&amp;", "&amp;$E217&amp;" "&amp;$F217),IF($R217&lt;&gt;"",$R217,IF($D217&lt;&gt;"",$D217&amp;", "&amp;$E217,$I217)))</f>
        <v>El Paso, TX</v>
      </c>
    </row>
    <row r="218" customFormat="false" ht="15" hidden="false" customHeight="true" outlineLevel="0" collapsed="false">
      <c r="A218" s="5" t="s">
        <v>896</v>
      </c>
      <c r="B218" s="5" t="s">
        <v>896</v>
      </c>
      <c r="C218" s="5"/>
      <c r="D218" s="5" t="s">
        <v>897</v>
      </c>
      <c r="E218" s="5" t="s">
        <v>40</v>
      </c>
      <c r="F218" s="5"/>
      <c r="G218" s="5" t="s">
        <v>31</v>
      </c>
      <c r="H218" s="5" t="s">
        <v>157</v>
      </c>
      <c r="I218" s="5" t="s">
        <v>42</v>
      </c>
      <c r="J218" s="6" t="n">
        <v>2</v>
      </c>
      <c r="K218" s="5" t="s">
        <v>426</v>
      </c>
      <c r="L218" s="5" t="n">
        <f aca="false">IF($K218="",0,LEN($K218)-LEN(SUBSTITUTE($K218,",",""))+1)</f>
        <v>1</v>
      </c>
      <c r="M218" s="5" t="s">
        <v>44</v>
      </c>
      <c r="N218" s="5" t="str">
        <f aca="false">TRIM($A218&amp;" "&amp;IF($C218="",$R218,$C218&amp;" "&amp;$D218&amp;" "&amp;$E218&amp;" "&amp;$F218))</f>
        <v>TEJAS LIQUOR #11</v>
      </c>
      <c r="O218" s="5" t="str">
        <f aca="false">IF($P218&lt;&gt;"","Exclude",IF(AND($M218&lt;&gt;"Full address",$R218=""),"Needs address",IF($J218&lt;0.5,"Hold - low volume",IF(LEFT($W218,3)="Low","Verify address",IF($G218="Needs review","Needs premise review",IF($X218="Estimated","Ready - address estimated","Ready"))))))</f>
        <v>Needs address</v>
      </c>
      <c r="P218" s="5"/>
      <c r="Q218" s="5" t="s">
        <v>45</v>
      </c>
      <c r="R218" s="5"/>
      <c r="S218" s="5"/>
      <c r="T218" s="7"/>
      <c r="U218" s="7"/>
      <c r="V218" s="5"/>
      <c r="W218" s="5"/>
      <c r="X218" s="5" t="s">
        <v>3</v>
      </c>
      <c r="Y218" s="8" t="str">
        <f aca="false">IF($C218&lt;&gt;"",TRIM($C218&amp;", "&amp;$D218&amp;", "&amp;$E218&amp;" "&amp;$F218),IF($R218&lt;&gt;"",$R218,IF($D218&lt;&gt;"",$D218&amp;", "&amp;$E218,$I218)))</f>
        <v>Richmond, TX</v>
      </c>
    </row>
    <row r="219" customFormat="false" ht="15" hidden="false" customHeight="true" outlineLevel="0" collapsed="false">
      <c r="A219" s="5" t="s">
        <v>898</v>
      </c>
      <c r="B219" s="5" t="s">
        <v>898</v>
      </c>
      <c r="C219" s="5"/>
      <c r="D219" s="5" t="s">
        <v>899</v>
      </c>
      <c r="E219" s="5" t="s">
        <v>40</v>
      </c>
      <c r="F219" s="5"/>
      <c r="G219" s="5" t="s">
        <v>31</v>
      </c>
      <c r="H219" s="5" t="s">
        <v>41</v>
      </c>
      <c r="I219" s="5" t="s">
        <v>42</v>
      </c>
      <c r="J219" s="6" t="n">
        <v>2</v>
      </c>
      <c r="K219" s="5" t="s">
        <v>63</v>
      </c>
      <c r="L219" s="5" t="n">
        <f aca="false">IF($K219="",0,LEN($K219)-LEN(SUBSTITUTE($K219,",",""))+1)</f>
        <v>2</v>
      </c>
      <c r="M219" s="5" t="s">
        <v>44</v>
      </c>
      <c r="N219" s="5" t="str">
        <f aca="false">TRIM($A219&amp;" "&amp;IF($C219="",$R219,$C219&amp;" "&amp;$D219&amp;" "&amp;$E219&amp;" "&amp;$F219))</f>
        <v>TOCO LIQUOR PACKAGE STORE</v>
      </c>
      <c r="O219" s="5" t="str">
        <f aca="false">IF($P219&lt;&gt;"","Exclude",IF(AND($M219&lt;&gt;"Full address",$R219=""),"Needs address",IF($J219&lt;0.5,"Hold - low volume",IF(LEFT($W219,3)="Low","Verify address",IF($G219="Needs review","Needs premise review",IF($X219="Estimated","Ready - address estimated","Ready"))))))</f>
        <v>Needs address</v>
      </c>
      <c r="P219" s="5"/>
      <c r="Q219" s="5" t="s">
        <v>45</v>
      </c>
      <c r="R219" s="5"/>
      <c r="S219" s="5"/>
      <c r="T219" s="7"/>
      <c r="U219" s="7"/>
      <c r="V219" s="5"/>
      <c r="W219" s="5"/>
      <c r="X219" s="5" t="s">
        <v>3</v>
      </c>
      <c r="Y219" s="8" t="str">
        <f aca="false">IF($C219&lt;&gt;"",TRIM($C219&amp;", "&amp;$D219&amp;", "&amp;$E219&amp;" "&amp;$F219),IF($R219&lt;&gt;"",$R219,IF($D219&lt;&gt;"",$D219&amp;", "&amp;$E219,$I219)))</f>
        <v>Toco, TX</v>
      </c>
    </row>
    <row r="220" customFormat="false" ht="15" hidden="false" customHeight="true" outlineLevel="0" collapsed="false">
      <c r="A220" s="5" t="s">
        <v>900</v>
      </c>
      <c r="B220" s="5" t="s">
        <v>900</v>
      </c>
      <c r="C220" s="5"/>
      <c r="D220" s="5" t="s">
        <v>855</v>
      </c>
      <c r="E220" s="5" t="s">
        <v>40</v>
      </c>
      <c r="F220" s="5"/>
      <c r="G220" s="5" t="s">
        <v>31</v>
      </c>
      <c r="H220" s="5" t="s">
        <v>157</v>
      </c>
      <c r="I220" s="5" t="s">
        <v>42</v>
      </c>
      <c r="J220" s="6" t="n">
        <v>2</v>
      </c>
      <c r="K220" s="5" t="s">
        <v>63</v>
      </c>
      <c r="L220" s="5" t="n">
        <f aca="false">IF($K220="",0,LEN($K220)-LEN(SUBSTITUTE($K220,",",""))+1)</f>
        <v>2</v>
      </c>
      <c r="M220" s="5" t="s">
        <v>44</v>
      </c>
      <c r="N220" s="5" t="str">
        <f aca="false">TRIM($A220&amp;" "&amp;IF($C220="",$R220,$C220&amp;" "&amp;$D220&amp;" "&amp;$E220&amp;" "&amp;$F220))</f>
        <v>Uno Mas Liquor #122</v>
      </c>
      <c r="O220" s="5" t="str">
        <f aca="false">IF($P220&lt;&gt;"","Exclude",IF(AND($M220&lt;&gt;"Full address",$R220=""),"Needs address",IF($J220&lt;0.5,"Hold - low volume",IF(LEFT($W220,3)="Low","Verify address",IF($G220="Needs review","Needs premise review",IF($X220="Estimated","Ready - address estimated","Ready"))))))</f>
        <v>Needs address</v>
      </c>
      <c r="P220" s="5"/>
      <c r="Q220" s="5" t="s">
        <v>45</v>
      </c>
      <c r="R220" s="5"/>
      <c r="S220" s="5"/>
      <c r="T220" s="7"/>
      <c r="U220" s="7"/>
      <c r="V220" s="5"/>
      <c r="W220" s="5"/>
      <c r="X220" s="5" t="s">
        <v>3</v>
      </c>
      <c r="Y220" s="8" t="str">
        <f aca="false">IF($C220&lt;&gt;"",TRIM($C220&amp;", "&amp;$D220&amp;", "&amp;$E220&amp;" "&amp;$F220),IF($R220&lt;&gt;"",$R220,IF($D220&lt;&gt;"",$D220&amp;", "&amp;$E220,$I220)))</f>
        <v>Houston, TX</v>
      </c>
    </row>
    <row r="221" customFormat="false" ht="15" hidden="false" customHeight="true" outlineLevel="0" collapsed="false">
      <c r="A221" s="5" t="s">
        <v>901</v>
      </c>
      <c r="B221" s="5" t="s">
        <v>901</v>
      </c>
      <c r="C221" s="5"/>
      <c r="D221" s="5" t="s">
        <v>902</v>
      </c>
      <c r="E221" s="5" t="s">
        <v>40</v>
      </c>
      <c r="F221" s="5"/>
      <c r="G221" s="5" t="s">
        <v>31</v>
      </c>
      <c r="H221" s="5" t="s">
        <v>360</v>
      </c>
      <c r="I221" s="5" t="s">
        <v>42</v>
      </c>
      <c r="J221" s="6" t="n">
        <v>2</v>
      </c>
      <c r="K221" s="5" t="s">
        <v>395</v>
      </c>
      <c r="L221" s="5" t="n">
        <f aca="false">IF($K221="",0,LEN($K221)-LEN(SUBSTITUTE($K221,",",""))+1)</f>
        <v>2</v>
      </c>
      <c r="M221" s="5" t="s">
        <v>44</v>
      </c>
      <c r="N221" s="5" t="str">
        <f aca="false">TRIM($A221&amp;" "&amp;IF($C221="",$R221,$C221&amp;" "&amp;$D221&amp;" "&amp;$E221&amp;" "&amp;$F221))</f>
        <v>Uptown Liquor 4</v>
      </c>
      <c r="O221" s="5" t="str">
        <f aca="false">IF($P221&lt;&gt;"","Exclude",IF(AND($M221&lt;&gt;"Full address",$R221=""),"Needs address",IF($J221&lt;0.5,"Hold - low volume",IF(LEFT($W221,3)="Low","Verify address",IF($G221="Needs review","Needs premise review",IF($X221="Estimated","Ready - address estimated","Ready"))))))</f>
        <v>Needs address</v>
      </c>
      <c r="P221" s="5"/>
      <c r="Q221" s="5" t="s">
        <v>45</v>
      </c>
      <c r="R221" s="5"/>
      <c r="S221" s="5"/>
      <c r="T221" s="7"/>
      <c r="U221" s="7"/>
      <c r="V221" s="5"/>
      <c r="W221" s="5"/>
      <c r="X221" s="5" t="s">
        <v>3</v>
      </c>
      <c r="Y221" s="8" t="str">
        <f aca="false">IF($C221&lt;&gt;"",TRIM($C221&amp;", "&amp;$D221&amp;", "&amp;$E221&amp;" "&amp;$F221),IF($R221&lt;&gt;"",$R221,IF($D221&lt;&gt;"",$D221&amp;", "&amp;$E221,$I221)))</f>
        <v>Liberty Hill, TX</v>
      </c>
    </row>
    <row r="222" customFormat="false" ht="15" hidden="false" customHeight="true" outlineLevel="0" collapsed="false">
      <c r="A222" s="5" t="s">
        <v>903</v>
      </c>
      <c r="B222" s="5" t="s">
        <v>903</v>
      </c>
      <c r="C222" s="5"/>
      <c r="D222" s="5" t="s">
        <v>904</v>
      </c>
      <c r="E222" s="5" t="s">
        <v>40</v>
      </c>
      <c r="F222" s="5"/>
      <c r="G222" s="5" t="s">
        <v>31</v>
      </c>
      <c r="H222" s="5" t="s">
        <v>360</v>
      </c>
      <c r="I222" s="5" t="s">
        <v>42</v>
      </c>
      <c r="J222" s="6" t="n">
        <v>2</v>
      </c>
      <c r="K222" s="5" t="s">
        <v>414</v>
      </c>
      <c r="L222" s="5" t="n">
        <f aca="false">IF($K222="",0,LEN($K222)-LEN(SUBSTITUTE($K222,",",""))+1)</f>
        <v>2</v>
      </c>
      <c r="M222" s="5" t="s">
        <v>44</v>
      </c>
      <c r="N222" s="5" t="str">
        <f aca="false">TRIM($A222&amp;" "&amp;IF($C222="",$R222,$C222&amp;" "&amp;$D222&amp;" "&amp;$E222&amp;" "&amp;$F222))</f>
        <v>Uptown Liquor 5</v>
      </c>
      <c r="O222" s="5" t="str">
        <f aca="false">IF($P222&lt;&gt;"","Exclude",IF(AND($M222&lt;&gt;"Full address",$R222=""),"Needs address",IF($J222&lt;0.5,"Hold - low volume",IF(LEFT($W222,3)="Low","Verify address",IF($G222="Needs review","Needs premise review",IF($X222="Estimated","Ready - address estimated","Ready"))))))</f>
        <v>Needs address</v>
      </c>
      <c r="P222" s="5"/>
      <c r="Q222" s="5" t="s">
        <v>45</v>
      </c>
      <c r="R222" s="5"/>
      <c r="S222" s="5"/>
      <c r="T222" s="7"/>
      <c r="U222" s="7"/>
      <c r="V222" s="5"/>
      <c r="W222" s="5"/>
      <c r="X222" s="5" t="s">
        <v>3</v>
      </c>
      <c r="Y222" s="8" t="str">
        <f aca="false">IF($C222&lt;&gt;"",TRIM($C222&amp;", "&amp;$D222&amp;", "&amp;$E222&amp;" "&amp;$F222),IF($R222&lt;&gt;"",$R222,IF($D222&lt;&gt;"",$D222&amp;", "&amp;$E222,$I222)))</f>
        <v>Jarrell, TX</v>
      </c>
    </row>
    <row r="223" customFormat="false" ht="15" hidden="false" customHeight="true" outlineLevel="0" collapsed="false">
      <c r="A223" s="5" t="s">
        <v>905</v>
      </c>
      <c r="B223" s="5" t="s">
        <v>906</v>
      </c>
      <c r="C223" s="5"/>
      <c r="D223" s="5" t="s">
        <v>907</v>
      </c>
      <c r="E223" s="5" t="s">
        <v>40</v>
      </c>
      <c r="F223" s="5"/>
      <c r="G223" s="5" t="s">
        <v>31</v>
      </c>
      <c r="H223" s="5" t="s">
        <v>360</v>
      </c>
      <c r="I223" s="5" t="s">
        <v>42</v>
      </c>
      <c r="J223" s="6" t="n">
        <v>2</v>
      </c>
      <c r="K223" s="5" t="s">
        <v>76</v>
      </c>
      <c r="L223" s="5" t="n">
        <f aca="false">IF($K223="",0,LEN($K223)-LEN(SUBSTITUTE($K223,",",""))+1)</f>
        <v>1</v>
      </c>
      <c r="M223" s="5" t="s">
        <v>44</v>
      </c>
      <c r="N223" s="5" t="str">
        <f aca="false">TRIM($A223&amp;" "&amp;IF($C223="",$R223,$C223&amp;" "&amp;$D223&amp;" "&amp;$E223&amp;" "&amp;$F223))</f>
        <v>WB Liquors #143</v>
      </c>
      <c r="O223" s="5" t="str">
        <f aca="false">IF($P223&lt;&gt;"","Exclude",IF(AND($M223&lt;&gt;"Full address",$R223=""),"Needs address",IF($J223&lt;0.5,"Hold - low volume",IF(LEFT($W223,3)="Low","Verify address",IF($G223="Needs review","Needs premise review",IF($X223="Estimated","Ready - address estimated","Ready"))))))</f>
        <v>Needs address</v>
      </c>
      <c r="P223" s="5"/>
      <c r="Q223" s="5" t="s">
        <v>45</v>
      </c>
      <c r="R223" s="5"/>
      <c r="S223" s="5"/>
      <c r="T223" s="7"/>
      <c r="U223" s="7"/>
      <c r="V223" s="5"/>
      <c r="W223" s="5"/>
      <c r="X223" s="5" t="s">
        <v>3</v>
      </c>
      <c r="Y223" s="8" t="str">
        <f aca="false">IF($C223&lt;&gt;"",TRIM($C223&amp;", "&amp;$D223&amp;", "&amp;$E223&amp;" "&amp;$F223),IF($R223&lt;&gt;"",$R223,IF($D223&lt;&gt;"",$D223&amp;", "&amp;$E223,$I223)))</f>
        <v>Floresville, TX</v>
      </c>
    </row>
    <row r="224" customFormat="false" ht="15" hidden="false" customHeight="true" outlineLevel="0" collapsed="false">
      <c r="A224" s="5" t="s">
        <v>908</v>
      </c>
      <c r="B224" s="5" t="s">
        <v>908</v>
      </c>
      <c r="C224" s="5"/>
      <c r="D224" s="5" t="s">
        <v>271</v>
      </c>
      <c r="E224" s="5" t="s">
        <v>40</v>
      </c>
      <c r="F224" s="5"/>
      <c r="G224" s="5" t="s">
        <v>31</v>
      </c>
      <c r="H224" s="5" t="s">
        <v>157</v>
      </c>
      <c r="I224" s="5" t="s">
        <v>42</v>
      </c>
      <c r="J224" s="6" t="n">
        <v>2</v>
      </c>
      <c r="K224" s="5" t="s">
        <v>63</v>
      </c>
      <c r="L224" s="5" t="n">
        <f aca="false">IF($K224="",0,LEN($K224)-LEN(SUBSTITUTE($K224,",",""))+1)</f>
        <v>2</v>
      </c>
      <c r="M224" s="5" t="s">
        <v>44</v>
      </c>
      <c r="N224" s="5" t="str">
        <f aca="false">TRIM($A224&amp;" "&amp;IF($C224="",$R224,$C224&amp;" "&amp;$D224&amp;" "&amp;$E224&amp;" "&amp;$F224))</f>
        <v>WB Liquors #76</v>
      </c>
      <c r="O224" s="5" t="str">
        <f aca="false">IF($P224&lt;&gt;"","Exclude",IF(AND($M224&lt;&gt;"Full address",$R224=""),"Needs address",IF($J224&lt;0.5,"Hold - low volume",IF(LEFT($W224,3)="Low","Verify address",IF($G224="Needs review","Needs premise review",IF($X224="Estimated","Ready - address estimated","Ready"))))))</f>
        <v>Needs address</v>
      </c>
      <c r="P224" s="5"/>
      <c r="Q224" s="5" t="s">
        <v>45</v>
      </c>
      <c r="R224" s="5"/>
      <c r="S224" s="5"/>
      <c r="T224" s="7"/>
      <c r="U224" s="7"/>
      <c r="V224" s="5"/>
      <c r="W224" s="5"/>
      <c r="X224" s="5" t="s">
        <v>3</v>
      </c>
      <c r="Y224" s="8" t="str">
        <f aca="false">IF($C224&lt;&gt;"",TRIM($C224&amp;", "&amp;$D224&amp;", "&amp;$E224&amp;" "&amp;$F224),IF($R224&lt;&gt;"",$R224,IF($D224&lt;&gt;"",$D224&amp;", "&amp;$E224,$I224)))</f>
        <v>El Paso, TX</v>
      </c>
    </row>
    <row r="225" customFormat="false" ht="15" hidden="false" customHeight="true" outlineLevel="0" collapsed="false">
      <c r="A225" s="5" t="s">
        <v>909</v>
      </c>
      <c r="B225" s="5" t="s">
        <v>909</v>
      </c>
      <c r="C225" s="5"/>
      <c r="D225" s="5" t="s">
        <v>271</v>
      </c>
      <c r="E225" s="5" t="s">
        <v>40</v>
      </c>
      <c r="F225" s="5"/>
      <c r="G225" s="5" t="s">
        <v>31</v>
      </c>
      <c r="H225" s="5" t="s">
        <v>157</v>
      </c>
      <c r="I225" s="5" t="s">
        <v>42</v>
      </c>
      <c r="J225" s="6" t="n">
        <v>2</v>
      </c>
      <c r="K225" s="5" t="s">
        <v>63</v>
      </c>
      <c r="L225" s="5" t="n">
        <f aca="false">IF($K225="",0,LEN($K225)-LEN(SUBSTITUTE($K225,",",""))+1)</f>
        <v>2</v>
      </c>
      <c r="M225" s="5" t="s">
        <v>44</v>
      </c>
      <c r="N225" s="5" t="str">
        <f aca="false">TRIM($A225&amp;" "&amp;IF($C225="",$R225,$C225&amp;" "&amp;$D225&amp;" "&amp;$E225&amp;" "&amp;$F225))</f>
        <v>WB Liquors #79</v>
      </c>
      <c r="O225" s="5" t="str">
        <f aca="false">IF($P225&lt;&gt;"","Exclude",IF(AND($M225&lt;&gt;"Full address",$R225=""),"Needs address",IF($J225&lt;0.5,"Hold - low volume",IF(LEFT($W225,3)="Low","Verify address",IF($G225="Needs review","Needs premise review",IF($X225="Estimated","Ready - address estimated","Ready"))))))</f>
        <v>Needs address</v>
      </c>
      <c r="P225" s="5"/>
      <c r="Q225" s="5" t="s">
        <v>45</v>
      </c>
      <c r="R225" s="5"/>
      <c r="S225" s="5"/>
      <c r="T225" s="7"/>
      <c r="U225" s="7"/>
      <c r="V225" s="5"/>
      <c r="W225" s="5"/>
      <c r="X225" s="5" t="s">
        <v>3</v>
      </c>
      <c r="Y225" s="8" t="str">
        <f aca="false">IF($C225&lt;&gt;"",TRIM($C225&amp;", "&amp;$D225&amp;", "&amp;$E225&amp;" "&amp;$F225),IF($R225&lt;&gt;"",$R225,IF($D225&lt;&gt;"",$D225&amp;", "&amp;$E225,$I225)))</f>
        <v>El Paso, TX</v>
      </c>
    </row>
    <row r="226" customFormat="false" ht="15" hidden="false" customHeight="true" outlineLevel="0" collapsed="false">
      <c r="A226" s="5" t="s">
        <v>910</v>
      </c>
      <c r="B226" s="5" t="s">
        <v>910</v>
      </c>
      <c r="C226" s="5"/>
      <c r="D226" s="5" t="s">
        <v>271</v>
      </c>
      <c r="E226" s="5" t="s">
        <v>40</v>
      </c>
      <c r="F226" s="5"/>
      <c r="G226" s="5" t="s">
        <v>31</v>
      </c>
      <c r="H226" s="5" t="s">
        <v>157</v>
      </c>
      <c r="I226" s="5" t="s">
        <v>42</v>
      </c>
      <c r="J226" s="6" t="n">
        <v>2</v>
      </c>
      <c r="K226" s="5" t="s">
        <v>63</v>
      </c>
      <c r="L226" s="5" t="n">
        <f aca="false">IF($K226="",0,LEN($K226)-LEN(SUBSTITUTE($K226,",",""))+1)</f>
        <v>2</v>
      </c>
      <c r="M226" s="5" t="s">
        <v>44</v>
      </c>
      <c r="N226" s="5" t="str">
        <f aca="false">TRIM($A226&amp;" "&amp;IF($C226="",$R226,$C226&amp;" "&amp;$D226&amp;" "&amp;$E226&amp;" "&amp;$F226))</f>
        <v>WB Liquors #82</v>
      </c>
      <c r="O226" s="5" t="str">
        <f aca="false">IF($P226&lt;&gt;"","Exclude",IF(AND($M226&lt;&gt;"Full address",$R226=""),"Needs address",IF($J226&lt;0.5,"Hold - low volume",IF(LEFT($W226,3)="Low","Verify address",IF($G226="Needs review","Needs premise review",IF($X226="Estimated","Ready - address estimated","Ready"))))))</f>
        <v>Needs address</v>
      </c>
      <c r="P226" s="5"/>
      <c r="Q226" s="5" t="s">
        <v>45</v>
      </c>
      <c r="R226" s="5"/>
      <c r="S226" s="5"/>
      <c r="T226" s="7"/>
      <c r="U226" s="7"/>
      <c r="V226" s="5"/>
      <c r="W226" s="5"/>
      <c r="X226" s="5" t="s">
        <v>3</v>
      </c>
      <c r="Y226" s="8" t="str">
        <f aca="false">IF($C226&lt;&gt;"",TRIM($C226&amp;", "&amp;$D226&amp;", "&amp;$E226&amp;" "&amp;$F226),IF($R226&lt;&gt;"",$R226,IF($D226&lt;&gt;"",$D226&amp;", "&amp;$E226,$I226)))</f>
        <v>El Paso, TX</v>
      </c>
    </row>
    <row r="227" customFormat="false" ht="15" hidden="false" customHeight="true" outlineLevel="0" collapsed="false">
      <c r="A227" s="5" t="s">
        <v>911</v>
      </c>
      <c r="B227" s="5" t="s">
        <v>911</v>
      </c>
      <c r="C227" s="5"/>
      <c r="D227" s="5" t="s">
        <v>271</v>
      </c>
      <c r="E227" s="5" t="s">
        <v>40</v>
      </c>
      <c r="F227" s="5"/>
      <c r="G227" s="5" t="s">
        <v>31</v>
      </c>
      <c r="H227" s="5" t="s">
        <v>157</v>
      </c>
      <c r="I227" s="5" t="s">
        <v>42</v>
      </c>
      <c r="J227" s="6" t="n">
        <v>2</v>
      </c>
      <c r="K227" s="5" t="s">
        <v>76</v>
      </c>
      <c r="L227" s="5" t="n">
        <f aca="false">IF($K227="",0,LEN($K227)-LEN(SUBSTITUTE($K227,",",""))+1)</f>
        <v>1</v>
      </c>
      <c r="M227" s="5" t="s">
        <v>44</v>
      </c>
      <c r="N227" s="5" t="str">
        <f aca="false">TRIM($A227&amp;" "&amp;IF($C227="",$R227,$C227&amp;" "&amp;$D227&amp;" "&amp;$E227&amp;" "&amp;$F227))</f>
        <v>WB Liquors #92</v>
      </c>
      <c r="O227" s="5" t="str">
        <f aca="false">IF($P227&lt;&gt;"","Exclude",IF(AND($M227&lt;&gt;"Full address",$R227=""),"Needs address",IF($J227&lt;0.5,"Hold - low volume",IF(LEFT($W227,3)="Low","Verify address",IF($G227="Needs review","Needs premise review",IF($X227="Estimated","Ready - address estimated","Ready"))))))</f>
        <v>Needs address</v>
      </c>
      <c r="P227" s="5"/>
      <c r="Q227" s="5" t="s">
        <v>45</v>
      </c>
      <c r="R227" s="5"/>
      <c r="S227" s="5"/>
      <c r="T227" s="7"/>
      <c r="U227" s="7"/>
      <c r="V227" s="5"/>
      <c r="W227" s="5"/>
      <c r="X227" s="5" t="s">
        <v>3</v>
      </c>
      <c r="Y227" s="8" t="str">
        <f aca="false">IF($C227&lt;&gt;"",TRIM($C227&amp;", "&amp;$D227&amp;", "&amp;$E227&amp;" "&amp;$F227),IF($R227&lt;&gt;"",$R227,IF($D227&lt;&gt;"",$D227&amp;", "&amp;$E227,$I227)))</f>
        <v>El Paso, TX</v>
      </c>
    </row>
    <row r="228" customFormat="false" ht="15" hidden="false" customHeight="true" outlineLevel="0" collapsed="false">
      <c r="A228" s="5" t="s">
        <v>912</v>
      </c>
      <c r="B228" s="5" t="s">
        <v>912</v>
      </c>
      <c r="C228" s="5"/>
      <c r="D228" s="5"/>
      <c r="E228" s="5" t="s">
        <v>913</v>
      </c>
      <c r="F228" s="5"/>
      <c r="G228" s="5" t="s">
        <v>31</v>
      </c>
      <c r="H228" s="5" t="s">
        <v>914</v>
      </c>
      <c r="I228" s="5" t="s">
        <v>915</v>
      </c>
      <c r="J228" s="6" t="n">
        <v>1.75</v>
      </c>
      <c r="K228" s="5" t="s">
        <v>34</v>
      </c>
      <c r="L228" s="5" t="n">
        <f aca="false">IF($K228="",0,LEN($K228)-LEN(SUBSTITUTE($K228,",",""))+1)</f>
        <v>3</v>
      </c>
      <c r="M228" s="5" t="s">
        <v>916</v>
      </c>
      <c r="N228" s="5" t="str">
        <f aca="false">TRIM($A228&amp;" "&amp;IF($C228="",$R228,$C228&amp;" "&amp;$D228&amp;" "&amp;$E228&amp;" "&amp;$F228))</f>
        <v>HYVEE - Janesville</v>
      </c>
      <c r="O228" s="5" t="str">
        <f aca="false">IF($P228&lt;&gt;"","Exclude",IF(AND($M228&lt;&gt;"Full address",$R228=""),"Needs address",IF($J228&lt;0.5,"Hold - low volume",IF(LEFT($W228,3)="Low","Verify address",IF($G228="Needs review","Needs premise review",IF($X228="Estimated","Ready - address estimated","Ready"))))))</f>
        <v>Needs address</v>
      </c>
      <c r="P228" s="5"/>
      <c r="Q228" s="5" t="s">
        <v>917</v>
      </c>
      <c r="R228" s="5"/>
      <c r="S228" s="5"/>
      <c r="T228" s="7"/>
      <c r="U228" s="7"/>
      <c r="V228" s="5"/>
      <c r="W228" s="5"/>
      <c r="X228" s="5" t="s">
        <v>8</v>
      </c>
      <c r="Y228" s="8" t="str">
        <f aca="false">IF($C228&lt;&gt;"",TRIM($C228&amp;", "&amp;$D228&amp;", "&amp;$E228&amp;" "&amp;$F228),IF($R228&lt;&gt;"",$R228,IF($D228&lt;&gt;"",$D228&amp;", "&amp;$E228,$I228)))</f>
        <v>Wisconsin</v>
      </c>
    </row>
    <row r="229" customFormat="false" ht="15" hidden="false" customHeight="true" outlineLevel="0" collapsed="false">
      <c r="A229" s="5" t="s">
        <v>918</v>
      </c>
      <c r="B229" s="5" t="s">
        <v>918</v>
      </c>
      <c r="C229" s="5"/>
      <c r="D229" s="5"/>
      <c r="E229" s="5" t="s">
        <v>913</v>
      </c>
      <c r="F229" s="5"/>
      <c r="G229" s="5" t="s">
        <v>144</v>
      </c>
      <c r="H229" s="5" t="s">
        <v>914</v>
      </c>
      <c r="I229" s="5" t="s">
        <v>915</v>
      </c>
      <c r="J229" s="6" t="n">
        <v>1.75</v>
      </c>
      <c r="K229" s="5" t="s">
        <v>919</v>
      </c>
      <c r="L229" s="5" t="n">
        <f aca="false">IF($K229="",0,LEN($K229)-LEN(SUBSTITUTE($K229,",",""))+1)</f>
        <v>3</v>
      </c>
      <c r="M229" s="5" t="s">
        <v>916</v>
      </c>
      <c r="N229" s="5" t="str">
        <f aca="false">TRIM($A229&amp;" "&amp;IF($C229="",$R229,$C229&amp;" "&amp;$D229&amp;" "&amp;$E229&amp;" "&amp;$F229))</f>
        <v>Metcalfe's Tosa</v>
      </c>
      <c r="O229" s="5" t="str">
        <f aca="false">IF($P229&lt;&gt;"","Exclude",IF(AND($M229&lt;&gt;"Full address",$R229=""),"Needs address",IF($J229&lt;0.5,"Hold - low volume",IF(LEFT($W229,3)="Low","Verify address",IF($G229="Needs review","Needs premise review",IF($X229="Estimated","Ready - address estimated","Ready"))))))</f>
        <v>Needs address</v>
      </c>
      <c r="P229" s="5"/>
      <c r="Q229" s="5" t="s">
        <v>917</v>
      </c>
      <c r="R229" s="5"/>
      <c r="S229" s="5"/>
      <c r="T229" s="7"/>
      <c r="U229" s="7"/>
      <c r="V229" s="5"/>
      <c r="W229" s="5"/>
      <c r="X229" s="5" t="s">
        <v>8</v>
      </c>
      <c r="Y229" s="8" t="str">
        <f aca="false">IF($C229&lt;&gt;"",TRIM($C229&amp;", "&amp;$D229&amp;", "&amp;$E229&amp;" "&amp;$F229),IF($R229&lt;&gt;"",$R229,IF($D229&lt;&gt;"",$D229&amp;", "&amp;$E229,$I229)))</f>
        <v>Wisconsin</v>
      </c>
    </row>
    <row r="230" customFormat="false" ht="15" hidden="false" customHeight="true" outlineLevel="0" collapsed="false">
      <c r="A230" s="5" t="s">
        <v>920</v>
      </c>
      <c r="B230" s="5" t="s">
        <v>921</v>
      </c>
      <c r="C230" s="5" t="s">
        <v>922</v>
      </c>
      <c r="D230" s="5" t="s">
        <v>700</v>
      </c>
      <c r="E230" s="5" t="s">
        <v>29</v>
      </c>
      <c r="F230" s="5" t="s">
        <v>701</v>
      </c>
      <c r="G230" s="5" t="s">
        <v>377</v>
      </c>
      <c r="H230" s="5" t="s">
        <v>437</v>
      </c>
      <c r="I230" s="5" t="s">
        <v>33</v>
      </c>
      <c r="J230" s="6" t="n">
        <v>1.5</v>
      </c>
      <c r="K230" s="5" t="s">
        <v>395</v>
      </c>
      <c r="L230" s="5" t="n">
        <f aca="false">IF($K230="",0,LEN($K230)-LEN(SUBSTITUTE($K230,",",""))+1)</f>
        <v>2</v>
      </c>
      <c r="M230" s="5" t="s">
        <v>35</v>
      </c>
      <c r="N230" s="5" t="str">
        <f aca="false">TRIM($A230&amp;" "&amp;IF($C230="",$R230,$C230&amp;" "&amp;$D230&amp;" "&amp;$E230&amp;" "&amp;$F230))</f>
        <v>Shogun Japanese Restaurant #27925 9701 Ford Ave Ste 101 Richmond Hill GA 31324</v>
      </c>
      <c r="O230" s="5" t="str">
        <f aca="false">IF($P230&lt;&gt;"","Exclude",IF(AND($M230&lt;&gt;"Full address",$R230=""),"Needs address",IF($J230&lt;0.5,"Hold - low volume",IF(LEFT($W230,3)="Low","Verify address",IF($G230="Needs review","Needs premise review",IF($X230="Estimated","Ready - address estimated","Ready"))))))</f>
        <v>Ready</v>
      </c>
      <c r="P230" s="5"/>
      <c r="Q230" s="5" t="s">
        <v>36</v>
      </c>
      <c r="R230" s="5"/>
      <c r="S230" s="5"/>
      <c r="T230" s="7"/>
      <c r="U230" s="7"/>
      <c r="V230" s="5"/>
      <c r="W230" s="5"/>
      <c r="X230" s="5" t="s">
        <v>37</v>
      </c>
      <c r="Y230" s="8" t="str">
        <f aca="false">IF($C230&lt;&gt;"",TRIM($C230&amp;", "&amp;$D230&amp;", "&amp;$E230&amp;" "&amp;$F230),IF($R230&lt;&gt;"",$R230,IF($D230&lt;&gt;"",$D230&amp;", "&amp;$E230,$I230)))</f>
        <v>9701 Ford Ave Ste 101, Richmond Hill, GA 31324</v>
      </c>
    </row>
    <row r="231" customFormat="false" ht="15" hidden="false" customHeight="true" outlineLevel="0" collapsed="false">
      <c r="A231" s="5" t="s">
        <v>923</v>
      </c>
      <c r="B231" s="5" t="s">
        <v>923</v>
      </c>
      <c r="C231" s="5"/>
      <c r="D231" s="5" t="s">
        <v>786</v>
      </c>
      <c r="E231" s="5" t="s">
        <v>147</v>
      </c>
      <c r="F231" s="5"/>
      <c r="G231" s="5" t="s">
        <v>144</v>
      </c>
      <c r="H231" s="5" t="s">
        <v>148</v>
      </c>
      <c r="I231" s="5" t="s">
        <v>149</v>
      </c>
      <c r="J231" s="6" t="n">
        <v>1.5</v>
      </c>
      <c r="K231" s="5" t="s">
        <v>325</v>
      </c>
      <c r="L231" s="5" t="n">
        <f aca="false">IF($K231="",0,LEN($K231)-LEN(SUBSTITUTE($K231,",",""))+1)</f>
        <v>3</v>
      </c>
      <c r="M231" s="5" t="s">
        <v>44</v>
      </c>
      <c r="N231" s="5" t="str">
        <f aca="false">TRIM($A231&amp;" "&amp;IF($C231="",$R231,$C231&amp;" "&amp;$D231&amp;" "&amp;$E231&amp;" "&amp;$F231))</f>
        <v>MIDLANDS BOTTLING</v>
      </c>
      <c r="O231" s="5" t="str">
        <f aca="false">IF($P231&lt;&gt;"","Exclude",IF(AND($M231&lt;&gt;"Full address",$R231=""),"Needs address",IF($J231&lt;0.5,"Hold - low volume",IF(LEFT($W231,3)="Low","Verify address",IF($G231="Needs review","Needs premise review",IF($X231="Estimated","Ready - address estimated","Ready"))))))</f>
        <v>Needs address</v>
      </c>
      <c r="P231" s="5"/>
      <c r="Q231" s="5" t="s">
        <v>150</v>
      </c>
      <c r="R231" s="5"/>
      <c r="S231" s="5"/>
      <c r="T231" s="7"/>
      <c r="U231" s="7"/>
      <c r="V231" s="5"/>
      <c r="W231" s="5"/>
      <c r="X231" s="5" t="s">
        <v>3</v>
      </c>
      <c r="Y231" s="8" t="str">
        <f aca="false">IF($C231&lt;&gt;"",TRIM($C231&amp;", "&amp;$D231&amp;", "&amp;$E231&amp;" "&amp;$F231),IF($R231&lt;&gt;"",$R231,IF($D231&lt;&gt;"",$D231&amp;", "&amp;$E231,$I231)))</f>
        <v>West Columbia, SC</v>
      </c>
    </row>
    <row r="232" customFormat="false" ht="15" hidden="false" customHeight="true" outlineLevel="0" collapsed="false">
      <c r="A232" s="5" t="s">
        <v>924</v>
      </c>
      <c r="B232" s="5" t="s">
        <v>924</v>
      </c>
      <c r="C232" s="5"/>
      <c r="D232" s="5" t="s">
        <v>291</v>
      </c>
      <c r="E232" s="5" t="s">
        <v>147</v>
      </c>
      <c r="F232" s="5"/>
      <c r="G232" s="5" t="s">
        <v>31</v>
      </c>
      <c r="H232" s="5" t="s">
        <v>148</v>
      </c>
      <c r="I232" s="5" t="s">
        <v>149</v>
      </c>
      <c r="J232" s="6" t="n">
        <v>1.5</v>
      </c>
      <c r="K232" s="5" t="s">
        <v>63</v>
      </c>
      <c r="L232" s="5" t="n">
        <f aca="false">IF($K232="",0,LEN($K232)-LEN(SUBSTITUTE($K232,",",""))+1)</f>
        <v>2</v>
      </c>
      <c r="M232" s="5" t="s">
        <v>44</v>
      </c>
      <c r="N232" s="5" t="str">
        <f aca="false">TRIM($A232&amp;" "&amp;IF($C232="",$R232,$C232&amp;" "&amp;$D232&amp;" "&amp;$E232&amp;" "&amp;$F232))</f>
        <v>Majestic Wine And Liquor</v>
      </c>
      <c r="O232" s="5" t="str">
        <f aca="false">IF($P232&lt;&gt;"","Exclude",IF(AND($M232&lt;&gt;"Full address",$R232=""),"Needs address",IF($J232&lt;0.5,"Hold - low volume",IF(LEFT($W232,3)="Low","Verify address",IF($G232="Needs review","Needs premise review",IF($X232="Estimated","Ready - address estimated","Ready"))))))</f>
        <v>Needs address</v>
      </c>
      <c r="P232" s="5"/>
      <c r="Q232" s="5" t="s">
        <v>150</v>
      </c>
      <c r="R232" s="5"/>
      <c r="S232" s="5"/>
      <c r="T232" s="7"/>
      <c r="U232" s="7"/>
      <c r="V232" s="5"/>
      <c r="W232" s="5"/>
      <c r="X232" s="5" t="s">
        <v>3</v>
      </c>
      <c r="Y232" s="8" t="str">
        <f aca="false">IF($C232&lt;&gt;"",TRIM($C232&amp;", "&amp;$D232&amp;", "&amp;$E232&amp;" "&amp;$F232),IF($R232&lt;&gt;"",$R232,IF($D232&lt;&gt;"",$D232&amp;", "&amp;$E232,$I232)))</f>
        <v>North Charleston, SC</v>
      </c>
    </row>
    <row r="233" customFormat="false" ht="15" hidden="false" customHeight="true" outlineLevel="0" collapsed="false">
      <c r="A233" s="5" t="s">
        <v>925</v>
      </c>
      <c r="B233" s="5" t="s">
        <v>925</v>
      </c>
      <c r="C233" s="5"/>
      <c r="D233" s="5" t="s">
        <v>926</v>
      </c>
      <c r="E233" s="5" t="s">
        <v>40</v>
      </c>
      <c r="F233" s="5"/>
      <c r="G233" s="5" t="s">
        <v>31</v>
      </c>
      <c r="H233" s="5" t="s">
        <v>157</v>
      </c>
      <c r="I233" s="5" t="s">
        <v>42</v>
      </c>
      <c r="J233" s="6" t="n">
        <v>1.5</v>
      </c>
      <c r="K233" s="5" t="s">
        <v>34</v>
      </c>
      <c r="L233" s="5" t="n">
        <f aca="false">IF($K233="",0,LEN($K233)-LEN(SUBSTITUTE($K233,",",""))+1)</f>
        <v>3</v>
      </c>
      <c r="M233" s="5" t="s">
        <v>44</v>
      </c>
      <c r="N233" s="5" t="str">
        <f aca="false">TRIM($A233&amp;" "&amp;IF($C233="",$R233,$C233&amp;" "&amp;$D233&amp;" "&amp;$E233&amp;" "&amp;$F233))</f>
        <v>Elyson Liquor &amp; Fine Wines</v>
      </c>
      <c r="O233" s="5" t="str">
        <f aca="false">IF($P233&lt;&gt;"","Exclude",IF(AND($M233&lt;&gt;"Full address",$R233=""),"Needs address",IF($J233&lt;0.5,"Hold - low volume",IF(LEFT($W233,3)="Low","Verify address",IF($G233="Needs review","Needs premise review",IF($X233="Estimated","Ready - address estimated","Ready"))))))</f>
        <v>Needs address</v>
      </c>
      <c r="P233" s="5"/>
      <c r="Q233" s="5" t="s">
        <v>45</v>
      </c>
      <c r="R233" s="5"/>
      <c r="S233" s="5"/>
      <c r="T233" s="7"/>
      <c r="U233" s="7"/>
      <c r="V233" s="5"/>
      <c r="W233" s="5"/>
      <c r="X233" s="5" t="s">
        <v>3</v>
      </c>
      <c r="Y233" s="8" t="str">
        <f aca="false">IF($C233&lt;&gt;"",TRIM($C233&amp;", "&amp;$D233&amp;", "&amp;$E233&amp;" "&amp;$F233),IF($R233&lt;&gt;"",$R233,IF($D233&lt;&gt;"",$D233&amp;", "&amp;$E233,$I233)))</f>
        <v>Cypress, TX</v>
      </c>
    </row>
    <row r="234" customFormat="false" ht="15" hidden="false" customHeight="true" outlineLevel="0" collapsed="false">
      <c r="A234" s="5" t="s">
        <v>927</v>
      </c>
      <c r="B234" s="5" t="s">
        <v>927</v>
      </c>
      <c r="C234" s="5"/>
      <c r="D234" s="5" t="s">
        <v>855</v>
      </c>
      <c r="E234" s="5" t="s">
        <v>40</v>
      </c>
      <c r="F234" s="5"/>
      <c r="G234" s="5" t="s">
        <v>31</v>
      </c>
      <c r="H234" s="5" t="s">
        <v>157</v>
      </c>
      <c r="I234" s="5" t="s">
        <v>42</v>
      </c>
      <c r="J234" s="6" t="n">
        <v>1.5</v>
      </c>
      <c r="K234" s="5" t="s">
        <v>34</v>
      </c>
      <c r="L234" s="5" t="n">
        <f aca="false">IF($K234="",0,LEN($K234)-LEN(SUBSTITUTE($K234,",",""))+1)</f>
        <v>3</v>
      </c>
      <c r="M234" s="5" t="s">
        <v>44</v>
      </c>
      <c r="N234" s="5" t="str">
        <f aca="false">TRIM($A234&amp;" "&amp;IF($C234="",$R234,$C234&amp;" "&amp;$D234&amp;" "&amp;$E234&amp;" "&amp;$F234))</f>
        <v>Star Liquor (Greenhouse)</v>
      </c>
      <c r="O234" s="5" t="str">
        <f aca="false">IF($P234&lt;&gt;"","Exclude",IF(AND($M234&lt;&gt;"Full address",$R234=""),"Needs address",IF($J234&lt;0.5,"Hold - low volume",IF(LEFT($W234,3)="Low","Verify address",IF($G234="Needs review","Needs premise review",IF($X234="Estimated","Ready - address estimated","Ready"))))))</f>
        <v>Needs address</v>
      </c>
      <c r="P234" s="5"/>
      <c r="Q234" s="5" t="s">
        <v>45</v>
      </c>
      <c r="R234" s="5"/>
      <c r="S234" s="5"/>
      <c r="T234" s="7"/>
      <c r="U234" s="7"/>
      <c r="V234" s="5"/>
      <c r="W234" s="5"/>
      <c r="X234" s="5" t="s">
        <v>3</v>
      </c>
      <c r="Y234" s="8" t="str">
        <f aca="false">IF($C234&lt;&gt;"",TRIM($C234&amp;", "&amp;$D234&amp;", "&amp;$E234&amp;" "&amp;$F234),IF($R234&lt;&gt;"",$R234,IF($D234&lt;&gt;"",$D234&amp;", "&amp;$E234,$I234)))</f>
        <v>Houston, TX</v>
      </c>
    </row>
    <row r="235" customFormat="false" ht="15" hidden="false" customHeight="true" outlineLevel="0" collapsed="false">
      <c r="A235" s="5" t="s">
        <v>928</v>
      </c>
      <c r="B235" s="5" t="s">
        <v>928</v>
      </c>
      <c r="C235" s="5"/>
      <c r="D235" s="5" t="s">
        <v>929</v>
      </c>
      <c r="E235" s="5" t="s">
        <v>182</v>
      </c>
      <c r="F235" s="5"/>
      <c r="G235" s="5" t="s">
        <v>31</v>
      </c>
      <c r="H235" s="5" t="s">
        <v>183</v>
      </c>
      <c r="I235" s="5" t="s">
        <v>184</v>
      </c>
      <c r="J235" s="6" t="n">
        <v>1.33</v>
      </c>
      <c r="K235" s="5" t="s">
        <v>426</v>
      </c>
      <c r="L235" s="5" t="n">
        <f aca="false">IF($K235="",0,LEN($K235)-LEN(SUBSTITUTE($K235,",",""))+1)</f>
        <v>1</v>
      </c>
      <c r="M235" s="5" t="s">
        <v>44</v>
      </c>
      <c r="N235" s="5" t="str">
        <f aca="false">TRIM($A235&amp;" "&amp;IF($C235="",$R235,$C235&amp;" "&amp;$D235&amp;" "&amp;$E235&amp;" "&amp;$F235))</f>
        <v>I-75 LIQUOR</v>
      </c>
      <c r="O235" s="5" t="str">
        <f aca="false">IF($P235&lt;&gt;"","Exclude",IF(AND($M235&lt;&gt;"Full address",$R235=""),"Needs address",IF($J235&lt;0.5,"Hold - low volume",IF(LEFT($W235,3)="Low","Verify address",IF($G235="Needs review","Needs premise review",IF($X235="Estimated","Ready - address estimated","Ready"))))))</f>
        <v>Needs address</v>
      </c>
      <c r="P235" s="5"/>
      <c r="Q235" s="5" t="s">
        <v>185</v>
      </c>
      <c r="R235" s="5"/>
      <c r="S235" s="5"/>
      <c r="T235" s="7"/>
      <c r="U235" s="7"/>
      <c r="V235" s="5"/>
      <c r="W235" s="5"/>
      <c r="X235" s="5" t="s">
        <v>3</v>
      </c>
      <c r="Y235" s="8" t="str">
        <f aca="false">IF($C235&lt;&gt;"",TRIM($C235&amp;", "&amp;$D235&amp;", "&amp;$E235&amp;" "&amp;$F235),IF($R235&lt;&gt;"",$R235,IF($D235&lt;&gt;"",$D235&amp;", "&amp;$E235,$I235)))</f>
        <v>Bushnell, FL</v>
      </c>
    </row>
    <row r="236" customFormat="false" ht="15" hidden="false" customHeight="true" outlineLevel="0" collapsed="false">
      <c r="A236" s="5" t="s">
        <v>930</v>
      </c>
      <c r="B236" s="5" t="s">
        <v>930</v>
      </c>
      <c r="C236" s="5" t="s">
        <v>931</v>
      </c>
      <c r="D236" s="5" t="s">
        <v>932</v>
      </c>
      <c r="E236" s="5" t="s">
        <v>484</v>
      </c>
      <c r="F236" s="5" t="s">
        <v>933</v>
      </c>
      <c r="G236" s="5" t="s">
        <v>31</v>
      </c>
      <c r="H236" s="5" t="s">
        <v>486</v>
      </c>
      <c r="I236" s="5" t="s">
        <v>487</v>
      </c>
      <c r="J236" s="6" t="n">
        <v>1.33</v>
      </c>
      <c r="K236" s="5" t="s">
        <v>63</v>
      </c>
      <c r="L236" s="5" t="n">
        <f aca="false">IF($K236="",0,LEN($K236)-LEN(SUBSTITUTE($K236,",",""))+1)</f>
        <v>2</v>
      </c>
      <c r="M236" s="5" t="s">
        <v>35</v>
      </c>
      <c r="N236" s="5" t="str">
        <f aca="false">TRIM($A236&amp;" "&amp;IF($C236="",$R236,$C236&amp;" "&amp;$D236&amp;" "&amp;$E236&amp;" "&amp;$F236))</f>
        <v>Bottoms Up Liquor 4986 Roe Boulevard Roeland Park KS 66205</v>
      </c>
      <c r="O236" s="5" t="str">
        <f aca="false">IF($P236&lt;&gt;"","Exclude",IF(AND($M236&lt;&gt;"Full address",$R236=""),"Needs address",IF($J236&lt;0.5,"Hold - low volume",IF(LEFT($W236,3)="Low","Verify address",IF($G236="Needs review","Needs premise review",IF($X236="Estimated","Ready - address estimated","Ready"))))))</f>
        <v>Ready</v>
      </c>
      <c r="P236" s="5"/>
      <c r="Q236" s="5" t="s">
        <v>488</v>
      </c>
      <c r="R236" s="5"/>
      <c r="S236" s="5"/>
      <c r="T236" s="7"/>
      <c r="U236" s="7"/>
      <c r="V236" s="5"/>
      <c r="W236" s="5"/>
      <c r="X236" s="5" t="s">
        <v>37</v>
      </c>
      <c r="Y236" s="8" t="str">
        <f aca="false">IF($C236&lt;&gt;"",TRIM($C236&amp;", "&amp;$D236&amp;", "&amp;$E236&amp;" "&amp;$F236),IF($R236&lt;&gt;"",$R236,IF($D236&lt;&gt;"",$D236&amp;", "&amp;$E236,$I236)))</f>
        <v>4986 Roe Boulevard, Roeland Park, KS 66205</v>
      </c>
    </row>
    <row r="237" customFormat="false" ht="15" hidden="false" customHeight="true" outlineLevel="0" collapsed="false">
      <c r="A237" s="5" t="s">
        <v>934</v>
      </c>
      <c r="B237" s="5" t="s">
        <v>934</v>
      </c>
      <c r="C237" s="5"/>
      <c r="D237" s="5" t="s">
        <v>855</v>
      </c>
      <c r="E237" s="5" t="s">
        <v>40</v>
      </c>
      <c r="F237" s="5"/>
      <c r="G237" s="5" t="s">
        <v>144</v>
      </c>
      <c r="H237" s="5" t="s">
        <v>157</v>
      </c>
      <c r="I237" s="5" t="s">
        <v>42</v>
      </c>
      <c r="J237" s="6" t="n">
        <v>1.33</v>
      </c>
      <c r="K237" s="5" t="s">
        <v>395</v>
      </c>
      <c r="L237" s="5" t="n">
        <f aca="false">IF($K237="",0,LEN($K237)-LEN(SUBSTITUTE($K237,",",""))+1)</f>
        <v>2</v>
      </c>
      <c r="M237" s="5" t="s">
        <v>44</v>
      </c>
      <c r="N237" s="5" t="str">
        <f aca="false">TRIM($A237&amp;" "&amp;IF($C237="",$R237,$C237&amp;" "&amp;$D237&amp;" "&amp;$E237&amp;" "&amp;$F237))</f>
        <v>Spec's #071 Weslayan</v>
      </c>
      <c r="O237" s="5" t="str">
        <f aca="false">IF($P237&lt;&gt;"","Exclude",IF(AND($M237&lt;&gt;"Full address",$R237=""),"Needs address",IF($J237&lt;0.5,"Hold - low volume",IF(LEFT($W237,3)="Low","Verify address",IF($G237="Needs review","Needs premise review",IF($X237="Estimated","Ready - address estimated","Ready"))))))</f>
        <v>Needs address</v>
      </c>
      <c r="P237" s="5"/>
      <c r="Q237" s="5" t="s">
        <v>45</v>
      </c>
      <c r="R237" s="5"/>
      <c r="S237" s="5"/>
      <c r="T237" s="7"/>
      <c r="U237" s="7"/>
      <c r="V237" s="5"/>
      <c r="W237" s="5"/>
      <c r="X237" s="5" t="s">
        <v>3</v>
      </c>
      <c r="Y237" s="8" t="str">
        <f aca="false">IF($C237&lt;&gt;"",TRIM($C237&amp;", "&amp;$D237&amp;", "&amp;$E237&amp;" "&amp;$F237),IF($R237&lt;&gt;"",$R237,IF($D237&lt;&gt;"",$D237&amp;", "&amp;$E237,$I237)))</f>
        <v>Houston, TX</v>
      </c>
    </row>
    <row r="238" customFormat="false" ht="15" hidden="false" customHeight="true" outlineLevel="0" collapsed="false">
      <c r="A238" s="5" t="s">
        <v>935</v>
      </c>
      <c r="B238" s="5" t="s">
        <v>935</v>
      </c>
      <c r="C238" s="5"/>
      <c r="D238" s="5" t="s">
        <v>936</v>
      </c>
      <c r="E238" s="5" t="s">
        <v>40</v>
      </c>
      <c r="F238" s="5"/>
      <c r="G238" s="5" t="s">
        <v>144</v>
      </c>
      <c r="H238" s="5" t="s">
        <v>157</v>
      </c>
      <c r="I238" s="5" t="s">
        <v>42</v>
      </c>
      <c r="J238" s="6" t="n">
        <v>1.33</v>
      </c>
      <c r="K238" s="5" t="s">
        <v>63</v>
      </c>
      <c r="L238" s="5" t="n">
        <f aca="false">IF($K238="",0,LEN($K238)-LEN(SUBSTITUTE($K238,",",""))+1)</f>
        <v>2</v>
      </c>
      <c r="M238" s="5" t="s">
        <v>44</v>
      </c>
      <c r="N238" s="5" t="str">
        <f aca="false">TRIM($A238&amp;" "&amp;IF($C238="",$R238,$C238&amp;" "&amp;$D238&amp;" "&amp;$E238&amp;" "&amp;$F238))</f>
        <v>Spec's #124 Tomball Parkway</v>
      </c>
      <c r="O238" s="5" t="str">
        <f aca="false">IF($P238&lt;&gt;"","Exclude",IF(AND($M238&lt;&gt;"Full address",$R238=""),"Needs address",IF($J238&lt;0.5,"Hold - low volume",IF(LEFT($W238,3)="Low","Verify address",IF($G238="Needs review","Needs premise review",IF($X238="Estimated","Ready - address estimated","Ready"))))))</f>
        <v>Needs address</v>
      </c>
      <c r="P238" s="5"/>
      <c r="Q238" s="5" t="s">
        <v>45</v>
      </c>
      <c r="R238" s="5"/>
      <c r="S238" s="5"/>
      <c r="T238" s="7"/>
      <c r="U238" s="7"/>
      <c r="V238" s="5"/>
      <c r="W238" s="5"/>
      <c r="X238" s="5" t="s">
        <v>3</v>
      </c>
      <c r="Y238" s="8" t="str">
        <f aca="false">IF($C238&lt;&gt;"",TRIM($C238&amp;", "&amp;$D238&amp;", "&amp;$E238&amp;" "&amp;$F238),IF($R238&lt;&gt;"",$R238,IF($D238&lt;&gt;"",$D238&amp;", "&amp;$E238,$I238)))</f>
        <v>Tomball, TX</v>
      </c>
    </row>
    <row r="239" customFormat="false" ht="15" hidden="false" customHeight="true" outlineLevel="0" collapsed="false">
      <c r="A239" s="5" t="s">
        <v>937</v>
      </c>
      <c r="B239" s="5" t="s">
        <v>937</v>
      </c>
      <c r="C239" s="5"/>
      <c r="D239" s="5" t="s">
        <v>349</v>
      </c>
      <c r="E239" s="5" t="s">
        <v>40</v>
      </c>
      <c r="F239" s="5"/>
      <c r="G239" s="5" t="s">
        <v>144</v>
      </c>
      <c r="H239" s="5" t="s">
        <v>41</v>
      </c>
      <c r="I239" s="5" t="s">
        <v>42</v>
      </c>
      <c r="J239" s="6" t="n">
        <v>1.33</v>
      </c>
      <c r="K239" s="5" t="s">
        <v>63</v>
      </c>
      <c r="L239" s="5" t="n">
        <f aca="false">IF($K239="",0,LEN($K239)-LEN(SUBSTITUTE($K239,",",""))+1)</f>
        <v>2</v>
      </c>
      <c r="M239" s="5" t="s">
        <v>44</v>
      </c>
      <c r="N239" s="5" t="str">
        <f aca="false">TRIM($A239&amp;" "&amp;IF($C239="",$R239,$C239&amp;" "&amp;$D239&amp;" "&amp;$E239&amp;" "&amp;$F239))</f>
        <v>Spec's #154 Fort Worth - Hulen</v>
      </c>
      <c r="O239" s="5" t="str">
        <f aca="false">IF($P239&lt;&gt;"","Exclude",IF(AND($M239&lt;&gt;"Full address",$R239=""),"Needs address",IF($J239&lt;0.5,"Hold - low volume",IF(LEFT($W239,3)="Low","Verify address",IF($G239="Needs review","Needs premise review",IF($X239="Estimated","Ready - address estimated","Ready"))))))</f>
        <v>Needs address</v>
      </c>
      <c r="P239" s="5"/>
      <c r="Q239" s="5" t="s">
        <v>45</v>
      </c>
      <c r="R239" s="5"/>
      <c r="S239" s="5"/>
      <c r="T239" s="7"/>
      <c r="U239" s="7"/>
      <c r="V239" s="5"/>
      <c r="W239" s="5"/>
      <c r="X239" s="5" t="s">
        <v>3</v>
      </c>
      <c r="Y239" s="8" t="str">
        <f aca="false">IF($C239&lt;&gt;"",TRIM($C239&amp;", "&amp;$D239&amp;", "&amp;$E239&amp;" "&amp;$F239),IF($R239&lt;&gt;"",$R239,IF($D239&lt;&gt;"",$D239&amp;", "&amp;$E239,$I239)))</f>
        <v>Fort Worth, TX</v>
      </c>
    </row>
    <row r="240" customFormat="false" ht="15" hidden="false" customHeight="true" outlineLevel="0" collapsed="false">
      <c r="A240" s="5" t="s">
        <v>938</v>
      </c>
      <c r="B240" s="5" t="s">
        <v>938</v>
      </c>
      <c r="C240" s="5"/>
      <c r="D240" s="5" t="s">
        <v>939</v>
      </c>
      <c r="E240" s="5" t="s">
        <v>40</v>
      </c>
      <c r="F240" s="5"/>
      <c r="G240" s="5" t="s">
        <v>144</v>
      </c>
      <c r="H240" s="5" t="s">
        <v>41</v>
      </c>
      <c r="I240" s="5" t="s">
        <v>42</v>
      </c>
      <c r="J240" s="6" t="n">
        <v>1.33</v>
      </c>
      <c r="K240" s="5" t="s">
        <v>395</v>
      </c>
      <c r="L240" s="5" t="n">
        <f aca="false">IF($K240="",0,LEN($K240)-LEN(SUBSTITUTE($K240,",",""))+1)</f>
        <v>2</v>
      </c>
      <c r="M240" s="5" t="s">
        <v>44</v>
      </c>
      <c r="N240" s="5" t="str">
        <f aca="false">TRIM($A240&amp;" "&amp;IF($C240="",$R240,$C240&amp;" "&amp;$D240&amp;" "&amp;$E240&amp;" "&amp;$F240))</f>
        <v>Spec's #190 Renner Road</v>
      </c>
      <c r="O240" s="5" t="str">
        <f aca="false">IF($P240&lt;&gt;"","Exclude",IF(AND($M240&lt;&gt;"Full address",$R240=""),"Needs address",IF($J240&lt;0.5,"Hold - low volume",IF(LEFT($W240,3)="Low","Verify address",IF($G240="Needs review","Needs premise review",IF($X240="Estimated","Ready - address estimated","Ready"))))))</f>
        <v>Needs address</v>
      </c>
      <c r="P240" s="5"/>
      <c r="Q240" s="5" t="s">
        <v>45</v>
      </c>
      <c r="R240" s="5"/>
      <c r="S240" s="5"/>
      <c r="T240" s="7"/>
      <c r="U240" s="7"/>
      <c r="V240" s="5"/>
      <c r="W240" s="5"/>
      <c r="X240" s="5" t="s">
        <v>3</v>
      </c>
      <c r="Y240" s="8" t="str">
        <f aca="false">IF($C240&lt;&gt;"",TRIM($C240&amp;", "&amp;$D240&amp;", "&amp;$E240&amp;" "&amp;$F240),IF($R240&lt;&gt;"",$R240,IF($D240&lt;&gt;"",$D240&amp;", "&amp;$E240,$I240)))</f>
        <v>Plano, TX</v>
      </c>
    </row>
    <row r="241" customFormat="false" ht="15" hidden="false" customHeight="true" outlineLevel="0" collapsed="false">
      <c r="A241" s="5" t="s">
        <v>940</v>
      </c>
      <c r="B241" s="5" t="s">
        <v>940</v>
      </c>
      <c r="C241" s="5"/>
      <c r="D241" s="5" t="s">
        <v>941</v>
      </c>
      <c r="E241" s="5" t="s">
        <v>182</v>
      </c>
      <c r="F241" s="5"/>
      <c r="G241" s="5" t="s">
        <v>31</v>
      </c>
      <c r="H241" s="5" t="s">
        <v>183</v>
      </c>
      <c r="I241" s="5" t="s">
        <v>184</v>
      </c>
      <c r="J241" s="6" t="n">
        <v>1.17</v>
      </c>
      <c r="K241" s="5" t="s">
        <v>426</v>
      </c>
      <c r="L241" s="5" t="n">
        <f aca="false">IF($K241="",0,LEN($K241)-LEN(SUBSTITUTE($K241,",",""))+1)</f>
        <v>1</v>
      </c>
      <c r="M241" s="5" t="s">
        <v>44</v>
      </c>
      <c r="N241" s="5" t="str">
        <f aca="false">TRIM($A241&amp;" "&amp;IF($C241="",$R241,$C241&amp;" "&amp;$D241&amp;" "&amp;$E241&amp;" "&amp;$F241))</f>
        <v>Hillsboro Liquors</v>
      </c>
      <c r="O241" s="5" t="str">
        <f aca="false">IF($P241&lt;&gt;"","Exclude",IF(AND($M241&lt;&gt;"Full address",$R241=""),"Needs address",IF($J241&lt;0.5,"Hold - low volume",IF(LEFT($W241,3)="Low","Verify address",IF($G241="Needs review","Needs premise review",IF($X241="Estimated","Ready - address estimated","Ready"))))))</f>
        <v>Needs address</v>
      </c>
      <c r="P241" s="5"/>
      <c r="Q241" s="5" t="s">
        <v>185</v>
      </c>
      <c r="R241" s="5"/>
      <c r="S241" s="5"/>
      <c r="T241" s="7"/>
      <c r="U241" s="7"/>
      <c r="V241" s="5"/>
      <c r="W241" s="5"/>
      <c r="X241" s="5" t="s">
        <v>3</v>
      </c>
      <c r="Y241" s="8" t="str">
        <f aca="false">IF($C241&lt;&gt;"",TRIM($C241&amp;", "&amp;$D241&amp;", "&amp;$E241&amp;" "&amp;$F241),IF($R241&lt;&gt;"",$R241,IF($D241&lt;&gt;"",$D241&amp;", "&amp;$E241,$I241)))</f>
        <v>Coconut Creek, FL</v>
      </c>
    </row>
    <row r="242" customFormat="false" ht="15" hidden="false" customHeight="true" outlineLevel="0" collapsed="false">
      <c r="A242" s="5" t="s">
        <v>942</v>
      </c>
      <c r="B242" s="5" t="s">
        <v>943</v>
      </c>
      <c r="C242" s="5" t="s">
        <v>944</v>
      </c>
      <c r="D242" s="5" t="s">
        <v>945</v>
      </c>
      <c r="E242" s="5" t="s">
        <v>493</v>
      </c>
      <c r="F242" s="5" t="s">
        <v>946</v>
      </c>
      <c r="G242" s="5" t="s">
        <v>31</v>
      </c>
      <c r="H242" s="5" t="s">
        <v>495</v>
      </c>
      <c r="I242" s="5" t="s">
        <v>496</v>
      </c>
      <c r="J242" s="6" t="n">
        <v>1.17</v>
      </c>
      <c r="K242" s="5" t="s">
        <v>63</v>
      </c>
      <c r="L242" s="5" t="n">
        <f aca="false">IF($K242="",0,LEN($K242)-LEN(SUBSTITUTE($K242,",",""))+1)</f>
        <v>2</v>
      </c>
      <c r="M242" s="5" t="s">
        <v>35</v>
      </c>
      <c r="N242" s="5" t="str">
        <f aca="false">TRIM($A242&amp;" "&amp;IF($C242="",$R242,$C242&amp;" "&amp;$D242&amp;" "&amp;$E242&amp;" "&amp;$F242))</f>
        <v>Gomer's Fine Wine &amp; Spirits 1606 W 75th St Kcmo MO 64114</v>
      </c>
      <c r="O242" s="5" t="str">
        <f aca="false">IF($P242&lt;&gt;"","Exclude",IF(AND($M242&lt;&gt;"Full address",$R242=""),"Needs address",IF($J242&lt;0.5,"Hold - low volume",IF(LEFT($W242,3)="Low","Verify address",IF($G242="Needs review","Needs premise review",IF($X242="Estimated","Ready - address estimated","Ready"))))))</f>
        <v>Ready</v>
      </c>
      <c r="P242" s="5"/>
      <c r="Q242" s="5" t="s">
        <v>498</v>
      </c>
      <c r="R242" s="5"/>
      <c r="S242" s="5"/>
      <c r="T242" s="7"/>
      <c r="U242" s="7"/>
      <c r="V242" s="5"/>
      <c r="W242" s="5"/>
      <c r="X242" s="5" t="s">
        <v>37</v>
      </c>
      <c r="Y242" s="8" t="str">
        <f aca="false">IF($C242&lt;&gt;"",TRIM($C242&amp;", "&amp;$D242&amp;", "&amp;$E242&amp;" "&amp;$F242),IF($R242&lt;&gt;"",$R242,IF($D242&lt;&gt;"",$D242&amp;", "&amp;$E242,$I242)))</f>
        <v>1606 W 75th St, Kcmo, MO 64114</v>
      </c>
    </row>
    <row r="243" customFormat="false" ht="15" hidden="false" customHeight="true" outlineLevel="0" collapsed="false">
      <c r="A243" s="5" t="s">
        <v>947</v>
      </c>
      <c r="B243" s="5" t="s">
        <v>947</v>
      </c>
      <c r="C243" s="5"/>
      <c r="D243" s="5" t="s">
        <v>948</v>
      </c>
      <c r="E243" s="5" t="s">
        <v>40</v>
      </c>
      <c r="F243" s="5"/>
      <c r="G243" s="5" t="s">
        <v>144</v>
      </c>
      <c r="H243" s="5" t="s">
        <v>157</v>
      </c>
      <c r="I243" s="5" t="s">
        <v>42</v>
      </c>
      <c r="J243" s="6" t="n">
        <v>1.17</v>
      </c>
      <c r="K243" s="5" t="s">
        <v>414</v>
      </c>
      <c r="L243" s="5" t="n">
        <f aca="false">IF($K243="",0,LEN($K243)-LEN(SUBSTITUTE($K243,",",""))+1)</f>
        <v>2</v>
      </c>
      <c r="M243" s="5" t="s">
        <v>44</v>
      </c>
      <c r="N243" s="5" t="str">
        <f aca="false">TRIM($A243&amp;" "&amp;IF($C243="",$R243,$C243&amp;" "&amp;$D243&amp;" "&amp;$E243&amp;" "&amp;$F243))</f>
        <v>Spec's #108 Angleton</v>
      </c>
      <c r="O243" s="5" t="str">
        <f aca="false">IF($P243&lt;&gt;"","Exclude",IF(AND($M243&lt;&gt;"Full address",$R243=""),"Needs address",IF($J243&lt;0.5,"Hold - low volume",IF(LEFT($W243,3)="Low","Verify address",IF($G243="Needs review","Needs premise review",IF($X243="Estimated","Ready - address estimated","Ready"))))))</f>
        <v>Needs address</v>
      </c>
      <c r="P243" s="5"/>
      <c r="Q243" s="5" t="s">
        <v>45</v>
      </c>
      <c r="R243" s="5"/>
      <c r="S243" s="5"/>
      <c r="T243" s="7"/>
      <c r="U243" s="7"/>
      <c r="V243" s="5"/>
      <c r="W243" s="5"/>
      <c r="X243" s="5" t="s">
        <v>3</v>
      </c>
      <c r="Y243" s="8" t="str">
        <f aca="false">IF($C243&lt;&gt;"",TRIM($C243&amp;", "&amp;$D243&amp;", "&amp;$E243&amp;" "&amp;$F243),IF($R243&lt;&gt;"",$R243,IF($D243&lt;&gt;"",$D243&amp;", "&amp;$E243,$I243)))</f>
        <v>Angleton, TX</v>
      </c>
    </row>
    <row r="244" customFormat="false" ht="15" hidden="false" customHeight="true" outlineLevel="0" collapsed="false">
      <c r="A244" s="5" t="s">
        <v>949</v>
      </c>
      <c r="B244" s="5" t="s">
        <v>949</v>
      </c>
      <c r="C244" s="5"/>
      <c r="D244" s="5" t="s">
        <v>359</v>
      </c>
      <c r="E244" s="5" t="s">
        <v>40</v>
      </c>
      <c r="F244" s="5"/>
      <c r="G244" s="5" t="s">
        <v>144</v>
      </c>
      <c r="H244" s="5" t="s">
        <v>360</v>
      </c>
      <c r="I244" s="5" t="s">
        <v>42</v>
      </c>
      <c r="J244" s="6" t="n">
        <v>1.17</v>
      </c>
      <c r="K244" s="5" t="s">
        <v>395</v>
      </c>
      <c r="L244" s="5" t="n">
        <f aca="false">IF($K244="",0,LEN($K244)-LEN(SUBSTITUTE($K244,",",""))+1)</f>
        <v>2</v>
      </c>
      <c r="M244" s="5" t="s">
        <v>44</v>
      </c>
      <c r="N244" s="5" t="str">
        <f aca="false">TRIM($A244&amp;" "&amp;IF($C244="",$R244,$C244&amp;" "&amp;$D244&amp;" "&amp;$E244&amp;" "&amp;$F244))</f>
        <v>Spec's #197 Rector Drive</v>
      </c>
      <c r="O244" s="5" t="str">
        <f aca="false">IF($P244&lt;&gt;"","Exclude",IF(AND($M244&lt;&gt;"Full address",$R244=""),"Needs address",IF($J244&lt;0.5,"Hold - low volume",IF(LEFT($W244,3)="Low","Verify address",IF($G244="Needs review","Needs premise review",IF($X244="Estimated","Ready - address estimated","Ready"))))))</f>
        <v>Needs address</v>
      </c>
      <c r="P244" s="5"/>
      <c r="Q244" s="5" t="s">
        <v>45</v>
      </c>
      <c r="R244" s="5"/>
      <c r="S244" s="5"/>
      <c r="T244" s="7"/>
      <c r="U244" s="7"/>
      <c r="V244" s="5"/>
      <c r="W244" s="5"/>
      <c r="X244" s="5" t="s">
        <v>3</v>
      </c>
      <c r="Y244" s="8" t="str">
        <f aca="false">IF($C244&lt;&gt;"",TRIM($C244&amp;", "&amp;$D244&amp;", "&amp;$E244&amp;" "&amp;$F244),IF($R244&lt;&gt;"",$R244,IF($D244&lt;&gt;"",$D244&amp;", "&amp;$E244,$I244)))</f>
        <v>San Antonio, TX</v>
      </c>
    </row>
    <row r="245" customFormat="false" ht="15" hidden="false" customHeight="true" outlineLevel="0" collapsed="false">
      <c r="A245" s="5" t="s">
        <v>950</v>
      </c>
      <c r="B245" s="5" t="s">
        <v>950</v>
      </c>
      <c r="C245" s="5"/>
      <c r="D245" s="5" t="s">
        <v>271</v>
      </c>
      <c r="E245" s="5" t="s">
        <v>40</v>
      </c>
      <c r="F245" s="5"/>
      <c r="G245" s="5" t="s">
        <v>144</v>
      </c>
      <c r="H245" s="5" t="s">
        <v>157</v>
      </c>
      <c r="I245" s="5" t="s">
        <v>42</v>
      </c>
      <c r="J245" s="6" t="n">
        <v>1.17</v>
      </c>
      <c r="K245" s="5" t="s">
        <v>63</v>
      </c>
      <c r="L245" s="5" t="n">
        <f aca="false">IF($K245="",0,LEN($K245)-LEN(SUBSTITUTE($K245,",",""))+1)</f>
        <v>2</v>
      </c>
      <c r="M245" s="5" t="s">
        <v>44</v>
      </c>
      <c r="N245" s="5" t="str">
        <f aca="false">TRIM($A245&amp;" "&amp;IF($C245="",$R245,$C245&amp;" "&amp;$D245&amp;" "&amp;$E245&amp;" "&amp;$F245))</f>
        <v>Spec's #205 Gateway Blvd</v>
      </c>
      <c r="O245" s="5" t="str">
        <f aca="false">IF($P245&lt;&gt;"","Exclude",IF(AND($M245&lt;&gt;"Full address",$R245=""),"Needs address",IF($J245&lt;0.5,"Hold - low volume",IF(LEFT($W245,3)="Low","Verify address",IF($G245="Needs review","Needs premise review",IF($X245="Estimated","Ready - address estimated","Ready"))))))</f>
        <v>Needs address</v>
      </c>
      <c r="P245" s="5"/>
      <c r="Q245" s="5" t="s">
        <v>45</v>
      </c>
      <c r="R245" s="5"/>
      <c r="S245" s="5"/>
      <c r="T245" s="7"/>
      <c r="U245" s="7"/>
      <c r="V245" s="5"/>
      <c r="W245" s="5"/>
      <c r="X245" s="5" t="s">
        <v>3</v>
      </c>
      <c r="Y245" s="8" t="str">
        <f aca="false">IF($C245&lt;&gt;"",TRIM($C245&amp;", "&amp;$D245&amp;", "&amp;$E245&amp;" "&amp;$F245),IF($R245&lt;&gt;"",$R245,IF($D245&lt;&gt;"",$D245&amp;", "&amp;$E245,$I245)))</f>
        <v>El Paso, TX</v>
      </c>
    </row>
    <row r="246" customFormat="false" ht="15" hidden="false" customHeight="true" outlineLevel="0" collapsed="false">
      <c r="A246" s="5" t="s">
        <v>951</v>
      </c>
      <c r="B246" s="5" t="s">
        <v>951</v>
      </c>
      <c r="C246" s="5"/>
      <c r="D246" s="5" t="s">
        <v>952</v>
      </c>
      <c r="E246" s="5" t="s">
        <v>40</v>
      </c>
      <c r="F246" s="5"/>
      <c r="G246" s="5" t="s">
        <v>144</v>
      </c>
      <c r="H246" s="5" t="s">
        <v>41</v>
      </c>
      <c r="I246" s="5" t="s">
        <v>42</v>
      </c>
      <c r="J246" s="6" t="n">
        <v>1.17</v>
      </c>
      <c r="K246" s="5" t="s">
        <v>63</v>
      </c>
      <c r="L246" s="5" t="n">
        <f aca="false">IF($K246="",0,LEN($K246)-LEN(SUBSTITUTE($K246,",",""))+1)</f>
        <v>2</v>
      </c>
      <c r="M246" s="5" t="s">
        <v>44</v>
      </c>
      <c r="N246" s="5" t="str">
        <f aca="false">TRIM($A246&amp;" "&amp;IF($C246="",$R246,$C246&amp;" "&amp;$D246&amp;" "&amp;$E246&amp;" "&amp;$F246))</f>
        <v>Spec's #209 Keller</v>
      </c>
      <c r="O246" s="5" t="str">
        <f aca="false">IF($P246&lt;&gt;"","Exclude",IF(AND($M246&lt;&gt;"Full address",$R246=""),"Needs address",IF($J246&lt;0.5,"Hold - low volume",IF(LEFT($W246,3)="Low","Verify address",IF($G246="Needs review","Needs premise review",IF($X246="Estimated","Ready - address estimated","Ready"))))))</f>
        <v>Needs address</v>
      </c>
      <c r="P246" s="5"/>
      <c r="Q246" s="5" t="s">
        <v>45</v>
      </c>
      <c r="R246" s="5"/>
      <c r="S246" s="5"/>
      <c r="T246" s="7"/>
      <c r="U246" s="7"/>
      <c r="V246" s="5"/>
      <c r="W246" s="5"/>
      <c r="X246" s="5" t="s">
        <v>3</v>
      </c>
      <c r="Y246" s="8" t="str">
        <f aca="false">IF($C246&lt;&gt;"",TRIM($C246&amp;", "&amp;$D246&amp;", "&amp;$E246&amp;" "&amp;$F246),IF($R246&lt;&gt;"",$R246,IF($D246&lt;&gt;"",$D246&amp;", "&amp;$E246,$I246)))</f>
        <v>Keller, TX</v>
      </c>
    </row>
    <row r="247" customFormat="false" ht="15" hidden="false" customHeight="true" outlineLevel="0" collapsed="false">
      <c r="A247" s="5" t="s">
        <v>953</v>
      </c>
      <c r="B247" s="5" t="s">
        <v>954</v>
      </c>
      <c r="C247" s="5"/>
      <c r="D247" s="5" t="s">
        <v>271</v>
      </c>
      <c r="E247" s="5" t="s">
        <v>40</v>
      </c>
      <c r="F247" s="5"/>
      <c r="G247" s="5" t="s">
        <v>31</v>
      </c>
      <c r="H247" s="5" t="s">
        <v>157</v>
      </c>
      <c r="I247" s="5" t="s">
        <v>42</v>
      </c>
      <c r="J247" s="6" t="n">
        <v>1.17</v>
      </c>
      <c r="K247" s="5" t="s">
        <v>63</v>
      </c>
      <c r="L247" s="5" t="n">
        <f aca="false">IF($K247="",0,LEN($K247)-LEN(SUBSTITUTE($K247,",",""))+1)</f>
        <v>2</v>
      </c>
      <c r="M247" s="5" t="s">
        <v>44</v>
      </c>
      <c r="N247" s="5" t="str">
        <f aca="false">TRIM($A247&amp;" "&amp;IF($C247="",$R247,$C247&amp;" "&amp;$D247&amp;" "&amp;$E247&amp;" "&amp;$F247))</f>
        <v>Total Wine #532</v>
      </c>
      <c r="O247" s="5" t="str">
        <f aca="false">IF($P247&lt;&gt;"","Exclude",IF(AND($M247&lt;&gt;"Full address",$R247=""),"Needs address",IF($J247&lt;0.5,"Hold - low volume",IF(LEFT($W247,3)="Low","Verify address",IF($G247="Needs review","Needs premise review",IF($X247="Estimated","Ready - address estimated","Ready"))))))</f>
        <v>Needs address</v>
      </c>
      <c r="P247" s="5"/>
      <c r="Q247" s="5" t="s">
        <v>45</v>
      </c>
      <c r="R247" s="5"/>
      <c r="S247" s="5"/>
      <c r="T247" s="7"/>
      <c r="U247" s="7"/>
      <c r="V247" s="5"/>
      <c r="W247" s="5"/>
      <c r="X247" s="5" t="s">
        <v>3</v>
      </c>
      <c r="Y247" s="8" t="str">
        <f aca="false">IF($C247&lt;&gt;"",TRIM($C247&amp;", "&amp;$D247&amp;", "&amp;$E247&amp;" "&amp;$F247),IF($R247&lt;&gt;"",$R247,IF($D247&lt;&gt;"",$D247&amp;", "&amp;$E247,$I247)))</f>
        <v>El Paso, TX</v>
      </c>
    </row>
    <row r="248" customFormat="false" ht="15" hidden="false" customHeight="true" outlineLevel="0" collapsed="false">
      <c r="A248" s="5" t="s">
        <v>955</v>
      </c>
      <c r="B248" s="5" t="s">
        <v>955</v>
      </c>
      <c r="C248" s="5" t="s">
        <v>956</v>
      </c>
      <c r="D248" s="5" t="s">
        <v>849</v>
      </c>
      <c r="E248" s="5" t="s">
        <v>375</v>
      </c>
      <c r="F248" s="5" t="s">
        <v>957</v>
      </c>
      <c r="G248" s="5" t="s">
        <v>31</v>
      </c>
      <c r="H248" s="5" t="s">
        <v>378</v>
      </c>
      <c r="I248" s="5" t="s">
        <v>379</v>
      </c>
      <c r="J248" s="6" t="n">
        <v>1.1667</v>
      </c>
      <c r="K248" s="5" t="s">
        <v>426</v>
      </c>
      <c r="L248" s="5" t="n">
        <f aca="false">IF($K248="",0,LEN($K248)-LEN(SUBSTITUTE($K248,",",""))+1)</f>
        <v>1</v>
      </c>
      <c r="M248" s="5" t="s">
        <v>35</v>
      </c>
      <c r="N248" s="5" t="str">
        <f aca="false">TRIM($A248&amp;" "&amp;IF($C248="",$R248,$C248&amp;" "&amp;$D248&amp;" "&amp;$E248&amp;" "&amp;$F248))</f>
        <v>Harry'S Wine &amp; Spirits Two 5200 North Lee Hwy. Cleveland TN 37312</v>
      </c>
      <c r="O248" s="5" t="str">
        <f aca="false">IF($P248&lt;&gt;"","Exclude",IF(AND($M248&lt;&gt;"Full address",$R248=""),"Needs address",IF($J248&lt;0.5,"Hold - low volume",IF(LEFT($W248,3)="Low","Verify address",IF($G248="Needs review","Needs premise review",IF($X248="Estimated","Ready - address estimated","Ready"))))))</f>
        <v>Ready</v>
      </c>
      <c r="P248" s="5"/>
      <c r="Q248" s="5" t="s">
        <v>380</v>
      </c>
      <c r="R248" s="5"/>
      <c r="S248" s="5"/>
      <c r="T248" s="7"/>
      <c r="U248" s="7"/>
      <c r="V248" s="5"/>
      <c r="W248" s="5"/>
      <c r="X248" s="5" t="s">
        <v>37</v>
      </c>
      <c r="Y248" s="8" t="str">
        <f aca="false">IF($C248&lt;&gt;"",TRIM($C248&amp;", "&amp;$D248&amp;", "&amp;$E248&amp;" "&amp;$F248),IF($R248&lt;&gt;"",$R248,IF($D248&lt;&gt;"",$D248&amp;", "&amp;$E248,$I248)))</f>
        <v>5200 North Lee Hwy., Cleveland, TN 37312</v>
      </c>
    </row>
    <row r="249" customFormat="false" ht="15" hidden="false" customHeight="true" outlineLevel="0" collapsed="false">
      <c r="A249" s="5" t="s">
        <v>958</v>
      </c>
      <c r="B249" s="5" t="s">
        <v>958</v>
      </c>
      <c r="C249" s="5"/>
      <c r="D249" s="5"/>
      <c r="E249" s="5" t="s">
        <v>913</v>
      </c>
      <c r="F249" s="5"/>
      <c r="G249" s="5" t="s">
        <v>31</v>
      </c>
      <c r="H249" s="5" t="s">
        <v>914</v>
      </c>
      <c r="I249" s="5" t="s">
        <v>915</v>
      </c>
      <c r="J249" s="6" t="n">
        <v>1.1667</v>
      </c>
      <c r="K249" s="5" t="s">
        <v>389</v>
      </c>
      <c r="L249" s="5" t="n">
        <f aca="false">IF($K249="",0,LEN($K249)-LEN(SUBSTITUTE($K249,",",""))+1)</f>
        <v>3</v>
      </c>
      <c r="M249" s="5" t="s">
        <v>916</v>
      </c>
      <c r="N249" s="5" t="str">
        <f aca="false">TRIM($A249&amp;" "&amp;IF($C249="",$R249,$C249&amp;" "&amp;$D249&amp;" "&amp;$E249&amp;" "&amp;$F249))</f>
        <v>Woodman's Market Waukesha #40</v>
      </c>
      <c r="O249" s="5" t="str">
        <f aca="false">IF($P249&lt;&gt;"","Exclude",IF(AND($M249&lt;&gt;"Full address",$R249=""),"Needs address",IF($J249&lt;0.5,"Hold - low volume",IF(LEFT($W249,3)="Low","Verify address",IF($G249="Needs review","Needs premise review",IF($X249="Estimated","Ready - address estimated","Ready"))))))</f>
        <v>Needs address</v>
      </c>
      <c r="P249" s="5"/>
      <c r="Q249" s="5" t="s">
        <v>917</v>
      </c>
      <c r="R249" s="5"/>
      <c r="S249" s="5"/>
      <c r="T249" s="7"/>
      <c r="U249" s="7"/>
      <c r="V249" s="5"/>
      <c r="W249" s="5"/>
      <c r="X249" s="5" t="s">
        <v>8</v>
      </c>
      <c r="Y249" s="8" t="str">
        <f aca="false">IF($C249&lt;&gt;"",TRIM($C249&amp;", "&amp;$D249&amp;", "&amp;$E249&amp;" "&amp;$F249),IF($R249&lt;&gt;"",$R249,IF($D249&lt;&gt;"",$D249&amp;", "&amp;$E249,$I249)))</f>
        <v>Wisconsin</v>
      </c>
    </row>
    <row r="250" customFormat="false" ht="15" hidden="false" customHeight="true" outlineLevel="0" collapsed="false">
      <c r="A250" s="5" t="s">
        <v>959</v>
      </c>
      <c r="B250" s="5" t="s">
        <v>960</v>
      </c>
      <c r="C250" s="5" t="s">
        <v>961</v>
      </c>
      <c r="D250" s="5" t="s">
        <v>962</v>
      </c>
      <c r="E250" s="5" t="s">
        <v>59</v>
      </c>
      <c r="F250" s="5" t="s">
        <v>963</v>
      </c>
      <c r="G250" s="5" t="s">
        <v>31</v>
      </c>
      <c r="H250" s="5" t="s">
        <v>280</v>
      </c>
      <c r="I250" s="5" t="s">
        <v>62</v>
      </c>
      <c r="J250" s="6" t="n">
        <v>1</v>
      </c>
      <c r="K250" s="5" t="s">
        <v>76</v>
      </c>
      <c r="L250" s="5" t="n">
        <f aca="false">IF($K250="",0,LEN($K250)-LEN(SUBSTITUTE($K250,",",""))+1)</f>
        <v>1</v>
      </c>
      <c r="M250" s="5" t="s">
        <v>35</v>
      </c>
      <c r="N250" s="5" t="str">
        <f aca="false">TRIM($A250&amp;" "&amp;IF($C250="",$R250,$C250&amp;" "&amp;$D250&amp;" "&amp;$E250&amp;" "&amp;$F250))</f>
        <v>Barrel Brothers Liquor 2716 S Prairie Ave Pueblo CO 81005</v>
      </c>
      <c r="O250" s="5" t="str">
        <f aca="false">IF($P250&lt;&gt;"","Exclude",IF(AND($M250&lt;&gt;"Full address",$R250=""),"Needs address",IF($J250&lt;0.5,"Hold - low volume",IF(LEFT($W250,3)="Low","Verify address",IF($G250="Needs review","Needs premise review",IF($X250="Estimated","Ready - address estimated","Ready"))))))</f>
        <v>Ready</v>
      </c>
      <c r="P250" s="5"/>
      <c r="Q250" s="5" t="s">
        <v>64</v>
      </c>
      <c r="R250" s="5"/>
      <c r="S250" s="5"/>
      <c r="T250" s="7"/>
      <c r="U250" s="7"/>
      <c r="V250" s="5"/>
      <c r="W250" s="5"/>
      <c r="X250" s="5" t="s">
        <v>37</v>
      </c>
      <c r="Y250" s="8" t="str">
        <f aca="false">IF($C250&lt;&gt;"",TRIM($C250&amp;", "&amp;$D250&amp;", "&amp;$E250&amp;" "&amp;$F250),IF($R250&lt;&gt;"",$R250,IF($D250&lt;&gt;"",$D250&amp;", "&amp;$E250,$I250)))</f>
        <v>2716 S Prairie Ave, Pueblo, CO 81005</v>
      </c>
    </row>
    <row r="251" customFormat="false" ht="15" hidden="false" customHeight="true" outlineLevel="0" collapsed="false">
      <c r="A251" s="5" t="s">
        <v>964</v>
      </c>
      <c r="B251" s="5" t="s">
        <v>965</v>
      </c>
      <c r="C251" s="5" t="s">
        <v>966</v>
      </c>
      <c r="D251" s="5" t="s">
        <v>967</v>
      </c>
      <c r="E251" s="5" t="s">
        <v>59</v>
      </c>
      <c r="F251" s="5" t="s">
        <v>968</v>
      </c>
      <c r="G251" s="5" t="s">
        <v>144</v>
      </c>
      <c r="H251" s="5" t="s">
        <v>280</v>
      </c>
      <c r="I251" s="5" t="s">
        <v>62</v>
      </c>
      <c r="J251" s="6" t="n">
        <v>1</v>
      </c>
      <c r="K251" s="5" t="s">
        <v>469</v>
      </c>
      <c r="L251" s="5" t="n">
        <f aca="false">IF($K251="",0,LEN($K251)-LEN(SUBSTITUTE($K251,",",""))+1)</f>
        <v>1</v>
      </c>
      <c r="M251" s="5" t="s">
        <v>35</v>
      </c>
      <c r="N251" s="5" t="str">
        <f aca="false">TRIM($A251&amp;" "&amp;IF($C251="",$R251,$C251&amp;" "&amp;$D251&amp;" "&amp;$E251&amp;" "&amp;$F251))</f>
        <v>Beer Barn II 1001 E Main St Montrose CO 81401</v>
      </c>
      <c r="O251" s="5" t="str">
        <f aca="false">IF($P251&lt;&gt;"","Exclude",IF(AND($M251&lt;&gt;"Full address",$R251=""),"Needs address",IF($J251&lt;0.5,"Hold - low volume",IF(LEFT($W251,3)="Low","Verify address",IF($G251="Needs review","Needs premise review",IF($X251="Estimated","Ready - address estimated","Ready"))))))</f>
        <v>Needs premise review</v>
      </c>
      <c r="P251" s="5"/>
      <c r="Q251" s="5" t="s">
        <v>64</v>
      </c>
      <c r="R251" s="5"/>
      <c r="S251" s="5"/>
      <c r="T251" s="7"/>
      <c r="U251" s="7"/>
      <c r="V251" s="5"/>
      <c r="W251" s="5"/>
      <c r="X251" s="5" t="s">
        <v>37</v>
      </c>
      <c r="Y251" s="8" t="str">
        <f aca="false">IF($C251&lt;&gt;"",TRIM($C251&amp;", "&amp;$D251&amp;", "&amp;$E251&amp;" "&amp;$F251),IF($R251&lt;&gt;"",$R251,IF($D251&lt;&gt;"",$D251&amp;", "&amp;$E251,$I251)))</f>
        <v>1001 E Main St, Montrose, CO 81401</v>
      </c>
    </row>
    <row r="252" customFormat="false" ht="15" hidden="false" customHeight="true" outlineLevel="0" collapsed="false">
      <c r="A252" s="5" t="s">
        <v>969</v>
      </c>
      <c r="B252" s="5" t="s">
        <v>970</v>
      </c>
      <c r="C252" s="5" t="s">
        <v>971</v>
      </c>
      <c r="D252" s="5" t="s">
        <v>962</v>
      </c>
      <c r="E252" s="5" t="s">
        <v>59</v>
      </c>
      <c r="F252" s="5" t="s">
        <v>963</v>
      </c>
      <c r="G252" s="5" t="s">
        <v>31</v>
      </c>
      <c r="H252" s="5" t="s">
        <v>280</v>
      </c>
      <c r="I252" s="5" t="s">
        <v>62</v>
      </c>
      <c r="J252" s="6" t="n">
        <v>1</v>
      </c>
      <c r="K252" s="5" t="s">
        <v>76</v>
      </c>
      <c r="L252" s="5" t="n">
        <f aca="false">IF($K252="",0,LEN($K252)-LEN(SUBSTITUTE($K252,",",""))+1)</f>
        <v>1</v>
      </c>
      <c r="M252" s="5" t="s">
        <v>35</v>
      </c>
      <c r="N252" s="5" t="str">
        <f aca="false">TRIM($A252&amp;" "&amp;IF($C252="",$R252,$C252&amp;" "&amp;$D252&amp;" "&amp;$E252&amp;" "&amp;$F252))</f>
        <v>Big Bear Wine &amp; Liquor, Inc. 2037 S Pueblo Blvd Pueblo CO 81005</v>
      </c>
      <c r="O252" s="5" t="str">
        <f aca="false">IF($P252&lt;&gt;"","Exclude",IF(AND($M252&lt;&gt;"Full address",$R252=""),"Needs address",IF($J252&lt;0.5,"Hold - low volume",IF(LEFT($W252,3)="Low","Verify address",IF($G252="Needs review","Needs premise review",IF($X252="Estimated","Ready - address estimated","Ready"))))))</f>
        <v>Ready</v>
      </c>
      <c r="P252" s="5"/>
      <c r="Q252" s="5" t="s">
        <v>64</v>
      </c>
      <c r="R252" s="5"/>
      <c r="S252" s="5"/>
      <c r="T252" s="7"/>
      <c r="U252" s="7"/>
      <c r="V252" s="5"/>
      <c r="W252" s="5"/>
      <c r="X252" s="5" t="s">
        <v>37</v>
      </c>
      <c r="Y252" s="8" t="str">
        <f aca="false">IF($C252&lt;&gt;"",TRIM($C252&amp;", "&amp;$D252&amp;", "&amp;$E252&amp;" "&amp;$F252),IF($R252&lt;&gt;"",$R252,IF($D252&lt;&gt;"",$D252&amp;", "&amp;$E252,$I252)))</f>
        <v>2037 S Pueblo Blvd, Pueblo, CO 81005</v>
      </c>
    </row>
    <row r="253" customFormat="false" ht="15" hidden="false" customHeight="true" outlineLevel="0" collapsed="false">
      <c r="A253" s="5" t="s">
        <v>972</v>
      </c>
      <c r="B253" s="5" t="s">
        <v>973</v>
      </c>
      <c r="C253" s="5" t="s">
        <v>974</v>
      </c>
      <c r="D253" s="5" t="s">
        <v>58</v>
      </c>
      <c r="E253" s="5" t="s">
        <v>59</v>
      </c>
      <c r="F253" s="5" t="s">
        <v>975</v>
      </c>
      <c r="G253" s="5" t="s">
        <v>31</v>
      </c>
      <c r="H253" s="5" t="s">
        <v>61</v>
      </c>
      <c r="I253" s="5" t="s">
        <v>62</v>
      </c>
      <c r="J253" s="6" t="n">
        <v>1</v>
      </c>
      <c r="K253" s="5" t="s">
        <v>76</v>
      </c>
      <c r="L253" s="5" t="n">
        <f aca="false">IF($K253="",0,LEN($K253)-LEN(SUBSTITUTE($K253,",",""))+1)</f>
        <v>1</v>
      </c>
      <c r="M253" s="5" t="s">
        <v>35</v>
      </c>
      <c r="N253" s="5" t="str">
        <f aca="false">TRIM($A253&amp;" "&amp;IF($C253="",$R253,$C253&amp;" "&amp;$D253&amp;" "&amp;$E253&amp;" "&amp;$F253))</f>
        <v>Big Liquor Warehouse 100 S Abilene St Unit A Aurora CO 80012</v>
      </c>
      <c r="O253" s="5" t="str">
        <f aca="false">IF($P253&lt;&gt;"","Exclude",IF(AND($M253&lt;&gt;"Full address",$R253=""),"Needs address",IF($J253&lt;0.5,"Hold - low volume",IF(LEFT($W253,3)="Low","Verify address",IF($G253="Needs review","Needs premise review",IF($X253="Estimated","Ready - address estimated","Ready"))))))</f>
        <v>Ready</v>
      </c>
      <c r="P253" s="5"/>
      <c r="Q253" s="5" t="s">
        <v>64</v>
      </c>
      <c r="R253" s="5"/>
      <c r="S253" s="5"/>
      <c r="T253" s="7"/>
      <c r="U253" s="7"/>
      <c r="V253" s="5"/>
      <c r="W253" s="5"/>
      <c r="X253" s="5" t="s">
        <v>37</v>
      </c>
      <c r="Y253" s="8" t="str">
        <f aca="false">IF($C253&lt;&gt;"",TRIM($C253&amp;", "&amp;$D253&amp;", "&amp;$E253&amp;" "&amp;$F253),IF($R253&lt;&gt;"",$R253,IF($D253&lt;&gt;"",$D253&amp;", "&amp;$E253,$I253)))</f>
        <v>100 S Abilene St Unit A, Aurora, CO 80012</v>
      </c>
    </row>
    <row r="254" customFormat="false" ht="15" hidden="false" customHeight="true" outlineLevel="0" collapsed="false">
      <c r="A254" s="5" t="s">
        <v>976</v>
      </c>
      <c r="B254" s="5" t="s">
        <v>977</v>
      </c>
      <c r="C254" s="5" t="s">
        <v>978</v>
      </c>
      <c r="D254" s="5" t="s">
        <v>278</v>
      </c>
      <c r="E254" s="5" t="s">
        <v>59</v>
      </c>
      <c r="F254" s="5" t="s">
        <v>279</v>
      </c>
      <c r="G254" s="5" t="s">
        <v>31</v>
      </c>
      <c r="H254" s="5" t="s">
        <v>280</v>
      </c>
      <c r="I254" s="5" t="s">
        <v>62</v>
      </c>
      <c r="J254" s="6" t="n">
        <v>1</v>
      </c>
      <c r="K254" s="5" t="s">
        <v>76</v>
      </c>
      <c r="L254" s="5" t="n">
        <f aca="false">IF($K254="",0,LEN($K254)-LEN(SUBSTITUTE($K254,",",""))+1)</f>
        <v>1</v>
      </c>
      <c r="M254" s="5" t="s">
        <v>35</v>
      </c>
      <c r="N254" s="5" t="str">
        <f aca="false">TRIM($A254&amp;" "&amp;IF($C254="",$R254,$C254&amp;" "&amp;$D254&amp;" "&amp;$E254&amp;" "&amp;$F254))</f>
        <v>Clifton Liquors Drive Thru 3255 F Rd Clifton CO 81520</v>
      </c>
      <c r="O254" s="5" t="str">
        <f aca="false">IF($P254&lt;&gt;"","Exclude",IF(AND($M254&lt;&gt;"Full address",$R254=""),"Needs address",IF($J254&lt;0.5,"Hold - low volume",IF(LEFT($W254,3)="Low","Verify address",IF($G254="Needs review","Needs premise review",IF($X254="Estimated","Ready - address estimated","Ready"))))))</f>
        <v>Ready</v>
      </c>
      <c r="P254" s="5"/>
      <c r="Q254" s="5" t="s">
        <v>64</v>
      </c>
      <c r="R254" s="5"/>
      <c r="S254" s="5"/>
      <c r="T254" s="7"/>
      <c r="U254" s="7"/>
      <c r="V254" s="5"/>
      <c r="W254" s="5"/>
      <c r="X254" s="5" t="s">
        <v>37</v>
      </c>
      <c r="Y254" s="8" t="str">
        <f aca="false">IF($C254&lt;&gt;"",TRIM($C254&amp;", "&amp;$D254&amp;", "&amp;$E254&amp;" "&amp;$F254),IF($R254&lt;&gt;"",$R254,IF($D254&lt;&gt;"",$D254&amp;", "&amp;$E254,$I254)))</f>
        <v>3255 F Rd, Clifton, CO 81520</v>
      </c>
    </row>
    <row r="255" customFormat="false" ht="15" hidden="false" customHeight="true" outlineLevel="0" collapsed="false">
      <c r="A255" s="5" t="s">
        <v>979</v>
      </c>
      <c r="B255" s="5" t="s">
        <v>980</v>
      </c>
      <c r="C255" s="5" t="s">
        <v>981</v>
      </c>
      <c r="D255" s="5" t="s">
        <v>982</v>
      </c>
      <c r="E255" s="5" t="s">
        <v>59</v>
      </c>
      <c r="F255" s="5" t="s">
        <v>983</v>
      </c>
      <c r="G255" s="5" t="s">
        <v>31</v>
      </c>
      <c r="H255" s="5" t="s">
        <v>280</v>
      </c>
      <c r="I255" s="5" t="s">
        <v>62</v>
      </c>
      <c r="J255" s="6" t="n">
        <v>1</v>
      </c>
      <c r="K255" s="5" t="s">
        <v>76</v>
      </c>
      <c r="L255" s="5" t="n">
        <f aca="false">IF($K255="",0,LEN($K255)-LEN(SUBSTITUTE($K255,",",""))+1)</f>
        <v>1</v>
      </c>
      <c r="M255" s="5" t="s">
        <v>35</v>
      </c>
      <c r="N255" s="5" t="str">
        <f aca="false">TRIM($A255&amp;" "&amp;IF($C255="",$R255,$C255&amp;" "&amp;$D255&amp;" "&amp;$E255&amp;" "&amp;$F255))</f>
        <v>Cripple Creek Liquor 1073 Teller County Rd 1 Cripple Creek CO 80813</v>
      </c>
      <c r="O255" s="5" t="str">
        <f aca="false">IF($P255&lt;&gt;"","Exclude",IF(AND($M255&lt;&gt;"Full address",$R255=""),"Needs address",IF($J255&lt;0.5,"Hold - low volume",IF(LEFT($W255,3)="Low","Verify address",IF($G255="Needs review","Needs premise review",IF($X255="Estimated","Ready - address estimated","Ready"))))))</f>
        <v>Ready</v>
      </c>
      <c r="P255" s="5"/>
      <c r="Q255" s="5" t="s">
        <v>64</v>
      </c>
      <c r="R255" s="5"/>
      <c r="S255" s="5"/>
      <c r="T255" s="7"/>
      <c r="U255" s="7"/>
      <c r="V255" s="5"/>
      <c r="W255" s="5"/>
      <c r="X255" s="5" t="s">
        <v>37</v>
      </c>
      <c r="Y255" s="8" t="str">
        <f aca="false">IF($C255&lt;&gt;"",TRIM($C255&amp;", "&amp;$D255&amp;", "&amp;$E255&amp;" "&amp;$F255),IF($R255&lt;&gt;"",$R255,IF($D255&lt;&gt;"",$D255&amp;", "&amp;$E255,$I255)))</f>
        <v>1073 Teller County Rd 1, Cripple Creek, CO 80813</v>
      </c>
    </row>
    <row r="256" customFormat="false" ht="15" hidden="false" customHeight="true" outlineLevel="0" collapsed="false">
      <c r="A256" s="5" t="s">
        <v>984</v>
      </c>
      <c r="B256" s="5" t="s">
        <v>985</v>
      </c>
      <c r="C256" s="5" t="s">
        <v>986</v>
      </c>
      <c r="D256" s="5" t="s">
        <v>987</v>
      </c>
      <c r="E256" s="5" t="s">
        <v>59</v>
      </c>
      <c r="F256" s="5" t="s">
        <v>988</v>
      </c>
      <c r="G256" s="5" t="s">
        <v>377</v>
      </c>
      <c r="H256" s="5" t="s">
        <v>280</v>
      </c>
      <c r="I256" s="5" t="s">
        <v>62</v>
      </c>
      <c r="J256" s="6" t="n">
        <v>1</v>
      </c>
      <c r="K256" s="5" t="s">
        <v>426</v>
      </c>
      <c r="L256" s="5" t="n">
        <f aca="false">IF($K256="",0,LEN($K256)-LEN(SUBSTITUTE($K256,",",""))+1)</f>
        <v>1</v>
      </c>
      <c r="M256" s="5" t="s">
        <v>35</v>
      </c>
      <c r="N256" s="5" t="str">
        <f aca="false">TRIM($A256&amp;" "&amp;IF($C256="",$R256,$C256&amp;" "&amp;$D256&amp;" "&amp;$E256&amp;" "&amp;$F256))</f>
        <v>El Mescal Family Mexican Restaurant &amp; Bar 439 US-6 Fruita CO 81521</v>
      </c>
      <c r="O256" s="5" t="str">
        <f aca="false">IF($P256&lt;&gt;"","Exclude",IF(AND($M256&lt;&gt;"Full address",$R256=""),"Needs address",IF($J256&lt;0.5,"Hold - low volume",IF(LEFT($W256,3)="Low","Verify address",IF($G256="Needs review","Needs premise review",IF($X256="Estimated","Ready - address estimated","Ready"))))))</f>
        <v>Ready</v>
      </c>
      <c r="P256" s="5"/>
      <c r="Q256" s="5" t="s">
        <v>64</v>
      </c>
      <c r="R256" s="5"/>
      <c r="S256" s="5"/>
      <c r="T256" s="7"/>
      <c r="U256" s="7"/>
      <c r="V256" s="5"/>
      <c r="W256" s="5"/>
      <c r="X256" s="5" t="s">
        <v>37</v>
      </c>
      <c r="Y256" s="8" t="str">
        <f aca="false">IF($C256&lt;&gt;"",TRIM($C256&amp;", "&amp;$D256&amp;", "&amp;$E256&amp;" "&amp;$F256),IF($R256&lt;&gt;"",$R256,IF($D256&lt;&gt;"",$D256&amp;", "&amp;$E256,$I256)))</f>
        <v>439 US-6, Fruita, CO 81521</v>
      </c>
    </row>
    <row r="257" customFormat="false" ht="15" hidden="false" customHeight="true" outlineLevel="0" collapsed="false">
      <c r="A257" s="5" t="s">
        <v>989</v>
      </c>
      <c r="B257" s="5" t="s">
        <v>990</v>
      </c>
      <c r="C257" s="5" t="s">
        <v>991</v>
      </c>
      <c r="D257" s="5" t="s">
        <v>992</v>
      </c>
      <c r="E257" s="5" t="s">
        <v>59</v>
      </c>
      <c r="F257" s="5" t="s">
        <v>993</v>
      </c>
      <c r="G257" s="5" t="s">
        <v>31</v>
      </c>
      <c r="H257" s="5" t="s">
        <v>61</v>
      </c>
      <c r="I257" s="5" t="s">
        <v>62</v>
      </c>
      <c r="J257" s="6" t="n">
        <v>1</v>
      </c>
      <c r="K257" s="5" t="s">
        <v>76</v>
      </c>
      <c r="L257" s="5" t="n">
        <f aca="false">IF($K257="",0,LEN($K257)-LEN(SUBSTITUTE($K257,",",""))+1)</f>
        <v>1</v>
      </c>
      <c r="M257" s="5" t="s">
        <v>35</v>
      </c>
      <c r="N257" s="5" t="str">
        <f aca="false">TRIM($A257&amp;" "&amp;IF($C257="",$R257,$C257&amp;" "&amp;$D257&amp;" "&amp;$E257&amp;" "&amp;$F257))</f>
        <v>JJ LIQUOR 1711 Sheridan Blvd Edgewater CO 80214</v>
      </c>
      <c r="O257" s="5" t="str">
        <f aca="false">IF($P257&lt;&gt;"","Exclude",IF(AND($M257&lt;&gt;"Full address",$R257=""),"Needs address",IF($J257&lt;0.5,"Hold - low volume",IF(LEFT($W257,3)="Low","Verify address",IF($G257="Needs review","Needs premise review",IF($X257="Estimated","Ready - address estimated","Ready"))))))</f>
        <v>Ready</v>
      </c>
      <c r="P257" s="5"/>
      <c r="Q257" s="5" t="s">
        <v>64</v>
      </c>
      <c r="R257" s="5"/>
      <c r="S257" s="5"/>
      <c r="T257" s="7"/>
      <c r="U257" s="7"/>
      <c r="V257" s="5"/>
      <c r="W257" s="5"/>
      <c r="X257" s="5" t="s">
        <v>37</v>
      </c>
      <c r="Y257" s="8" t="str">
        <f aca="false">IF($C257&lt;&gt;"",TRIM($C257&amp;", "&amp;$D257&amp;", "&amp;$E257&amp;" "&amp;$F257),IF($R257&lt;&gt;"",$R257,IF($D257&lt;&gt;"",$D257&amp;", "&amp;$E257,$I257)))</f>
        <v>1711 Sheridan Blvd, Edgewater, CO 80214</v>
      </c>
    </row>
    <row r="258" customFormat="false" ht="15" hidden="false" customHeight="true" outlineLevel="0" collapsed="false">
      <c r="A258" s="5" t="s">
        <v>994</v>
      </c>
      <c r="B258" s="5" t="s">
        <v>995</v>
      </c>
      <c r="C258" s="5" t="s">
        <v>996</v>
      </c>
      <c r="D258" s="5" t="s">
        <v>409</v>
      </c>
      <c r="E258" s="5" t="s">
        <v>59</v>
      </c>
      <c r="F258" s="5" t="s">
        <v>997</v>
      </c>
      <c r="G258" s="5" t="s">
        <v>31</v>
      </c>
      <c r="H258" s="5" t="s">
        <v>61</v>
      </c>
      <c r="I258" s="5" t="s">
        <v>62</v>
      </c>
      <c r="J258" s="6" t="n">
        <v>1</v>
      </c>
      <c r="K258" s="5" t="s">
        <v>76</v>
      </c>
      <c r="L258" s="5" t="n">
        <f aca="false">IF($K258="",0,LEN($K258)-LEN(SUBSTITUTE($K258,",",""))+1)</f>
        <v>1</v>
      </c>
      <c r="M258" s="5" t="s">
        <v>35</v>
      </c>
      <c r="N258" s="5" t="str">
        <f aca="false">TRIM($A258&amp;" "&amp;IF($C258="",$R258,$C258&amp;" "&amp;$D258&amp;" "&amp;$E258&amp;" "&amp;$F258))</f>
        <v>Plaza De Santa Fe Liquors 1355 Santa Fe Dr Denver CO 80204</v>
      </c>
      <c r="O258" s="5" t="str">
        <f aca="false">IF($P258&lt;&gt;"","Exclude",IF(AND($M258&lt;&gt;"Full address",$R258=""),"Needs address",IF($J258&lt;0.5,"Hold - low volume",IF(LEFT($W258,3)="Low","Verify address",IF($G258="Needs review","Needs premise review",IF($X258="Estimated","Ready - address estimated","Ready"))))))</f>
        <v>Ready</v>
      </c>
      <c r="P258" s="5"/>
      <c r="Q258" s="5" t="s">
        <v>64</v>
      </c>
      <c r="R258" s="5"/>
      <c r="S258" s="5"/>
      <c r="T258" s="7"/>
      <c r="U258" s="7"/>
      <c r="V258" s="5"/>
      <c r="W258" s="5"/>
      <c r="X258" s="5" t="s">
        <v>37</v>
      </c>
      <c r="Y258" s="8" t="str">
        <f aca="false">IF($C258&lt;&gt;"",TRIM($C258&amp;", "&amp;$D258&amp;", "&amp;$E258&amp;" "&amp;$F258),IF($R258&lt;&gt;"",$R258,IF($D258&lt;&gt;"",$D258&amp;", "&amp;$E258,$I258)))</f>
        <v>1355 Santa Fe Dr, Denver, CO 80204</v>
      </c>
    </row>
    <row r="259" customFormat="false" ht="15" hidden="false" customHeight="true" outlineLevel="0" collapsed="false">
      <c r="A259" s="5" t="s">
        <v>998</v>
      </c>
      <c r="B259" s="5" t="s">
        <v>999</v>
      </c>
      <c r="C259" s="5" t="s">
        <v>1000</v>
      </c>
      <c r="D259" s="5" t="s">
        <v>1001</v>
      </c>
      <c r="E259" s="5" t="s">
        <v>59</v>
      </c>
      <c r="F259" s="5" t="s">
        <v>1002</v>
      </c>
      <c r="G259" s="5" t="s">
        <v>31</v>
      </c>
      <c r="H259" s="5" t="s">
        <v>280</v>
      </c>
      <c r="I259" s="5" t="s">
        <v>62</v>
      </c>
      <c r="J259" s="6" t="n">
        <v>1</v>
      </c>
      <c r="K259" s="5" t="s">
        <v>76</v>
      </c>
      <c r="L259" s="5" t="n">
        <f aca="false">IF($K259="",0,LEN($K259)-LEN(SUBSTITUTE($K259,",",""))+1)</f>
        <v>1</v>
      </c>
      <c r="M259" s="5" t="s">
        <v>35</v>
      </c>
      <c r="N259" s="5" t="str">
        <f aca="false">TRIM($A259&amp;" "&amp;IF($C259="",$R259,$C259&amp;" "&amp;$D259&amp;" "&amp;$E259&amp;" "&amp;$F259))</f>
        <v>Southwest Liquor 2011 Grand Ave Monte Vista CO 81144</v>
      </c>
      <c r="O259" s="5" t="str">
        <f aca="false">IF($P259&lt;&gt;"","Exclude",IF(AND($M259&lt;&gt;"Full address",$R259=""),"Needs address",IF($J259&lt;0.5,"Hold - low volume",IF(LEFT($W259,3)="Low","Verify address",IF($G259="Needs review","Needs premise review",IF($X259="Estimated","Ready - address estimated","Ready"))))))</f>
        <v>Ready</v>
      </c>
      <c r="P259" s="5"/>
      <c r="Q259" s="5" t="s">
        <v>64</v>
      </c>
      <c r="R259" s="5"/>
      <c r="S259" s="5"/>
      <c r="T259" s="7"/>
      <c r="U259" s="7"/>
      <c r="V259" s="5"/>
      <c r="W259" s="5"/>
      <c r="X259" s="5" t="s">
        <v>37</v>
      </c>
      <c r="Y259" s="8" t="str">
        <f aca="false">IF($C259&lt;&gt;"",TRIM($C259&amp;", "&amp;$D259&amp;", "&amp;$E259&amp;" "&amp;$F259),IF($R259&lt;&gt;"",$R259,IF($D259&lt;&gt;"",$D259&amp;", "&amp;$E259,$I259)))</f>
        <v>2011 Grand Ave, Monte Vista, CO 81144</v>
      </c>
    </row>
    <row r="260" customFormat="false" ht="15" hidden="false" customHeight="true" outlineLevel="0" collapsed="false">
      <c r="A260" s="5" t="s">
        <v>1003</v>
      </c>
      <c r="B260" s="5" t="s">
        <v>1004</v>
      </c>
      <c r="C260" s="5" t="s">
        <v>1005</v>
      </c>
      <c r="D260" s="5" t="s">
        <v>409</v>
      </c>
      <c r="E260" s="5" t="s">
        <v>59</v>
      </c>
      <c r="F260" s="5" t="s">
        <v>1006</v>
      </c>
      <c r="G260" s="5" t="s">
        <v>31</v>
      </c>
      <c r="H260" s="5" t="s">
        <v>61</v>
      </c>
      <c r="I260" s="5" t="s">
        <v>62</v>
      </c>
      <c r="J260" s="6" t="n">
        <v>1</v>
      </c>
      <c r="K260" s="5" t="s">
        <v>426</v>
      </c>
      <c r="L260" s="5" t="n">
        <f aca="false">IF($K260="",0,LEN($K260)-LEN(SUBSTITUTE($K260,",",""))+1)</f>
        <v>1</v>
      </c>
      <c r="M260" s="5" t="s">
        <v>35</v>
      </c>
      <c r="N260" s="5" t="str">
        <f aca="false">TRIM($A260&amp;" "&amp;IF($C260="",$R260,$C260&amp;" "&amp;$D260&amp;" "&amp;$E260&amp;" "&amp;$F260))</f>
        <v>Triple 7 Liquor 1685 S Colorado Blvd Denver CO 80222</v>
      </c>
      <c r="O260" s="5" t="str">
        <f aca="false">IF($P260&lt;&gt;"","Exclude",IF(AND($M260&lt;&gt;"Full address",$R260=""),"Needs address",IF($J260&lt;0.5,"Hold - low volume",IF(LEFT($W260,3)="Low","Verify address",IF($G260="Needs review","Needs premise review",IF($X260="Estimated","Ready - address estimated","Ready"))))))</f>
        <v>Ready</v>
      </c>
      <c r="P260" s="5"/>
      <c r="Q260" s="5" t="s">
        <v>64</v>
      </c>
      <c r="R260" s="5"/>
      <c r="S260" s="5"/>
      <c r="T260" s="7"/>
      <c r="U260" s="7"/>
      <c r="V260" s="5"/>
      <c r="W260" s="5"/>
      <c r="X260" s="5" t="s">
        <v>37</v>
      </c>
      <c r="Y260" s="8" t="str">
        <f aca="false">IF($C260&lt;&gt;"",TRIM($C260&amp;", "&amp;$D260&amp;", "&amp;$E260&amp;" "&amp;$F260),IF($R260&lt;&gt;"",$R260,IF($D260&lt;&gt;"",$D260&amp;", "&amp;$E260,$I260)))</f>
        <v>1685 S Colorado Blvd, Denver, CO 80222</v>
      </c>
    </row>
    <row r="261" customFormat="false" ht="15" hidden="false" customHeight="true" outlineLevel="0" collapsed="false">
      <c r="A261" s="5" t="s">
        <v>1007</v>
      </c>
      <c r="B261" s="5" t="s">
        <v>1008</v>
      </c>
      <c r="C261" s="5" t="s">
        <v>1009</v>
      </c>
      <c r="D261" s="5" t="s">
        <v>1010</v>
      </c>
      <c r="E261" s="5" t="s">
        <v>59</v>
      </c>
      <c r="F261" s="5" t="s">
        <v>1011</v>
      </c>
      <c r="G261" s="5" t="s">
        <v>144</v>
      </c>
      <c r="H261" s="5" t="s">
        <v>280</v>
      </c>
      <c r="I261" s="5" t="s">
        <v>62</v>
      </c>
      <c r="J261" s="6" t="n">
        <v>1</v>
      </c>
      <c r="K261" s="5" t="s">
        <v>76</v>
      </c>
      <c r="L261" s="5" t="n">
        <f aca="false">IF($K261="",0,LEN($K261)-LEN(SUBSTITUTE($K261,",",""))+1)</f>
        <v>1</v>
      </c>
      <c r="M261" s="5" t="s">
        <v>35</v>
      </c>
      <c r="N261" s="5" t="str">
        <f aca="false">TRIM($A261&amp;" "&amp;IF($C261="",$R261,$C261&amp;" "&amp;$D261&amp;" "&amp;$E261&amp;" "&amp;$F261))</f>
        <v>Uno Dos Tres Tacos &amp; Tequila 123 S Oak St Telluride CO 81435</v>
      </c>
      <c r="O261" s="5" t="str">
        <f aca="false">IF($P261&lt;&gt;"","Exclude",IF(AND($M261&lt;&gt;"Full address",$R261=""),"Needs address",IF($J261&lt;0.5,"Hold - low volume",IF(LEFT($W261,3)="Low","Verify address",IF($G261="Needs review","Needs premise review",IF($X261="Estimated","Ready - address estimated","Ready"))))))</f>
        <v>Needs premise review</v>
      </c>
      <c r="P261" s="5"/>
      <c r="Q261" s="5" t="s">
        <v>64</v>
      </c>
      <c r="R261" s="5"/>
      <c r="S261" s="5"/>
      <c r="T261" s="7"/>
      <c r="U261" s="7"/>
      <c r="V261" s="5"/>
      <c r="W261" s="5"/>
      <c r="X261" s="5" t="s">
        <v>37</v>
      </c>
      <c r="Y261" s="8" t="str">
        <f aca="false">IF($C261&lt;&gt;"",TRIM($C261&amp;", "&amp;$D261&amp;", "&amp;$E261&amp;" "&amp;$F261),IF($R261&lt;&gt;"",$R261,IF($D261&lt;&gt;"",$D261&amp;", "&amp;$E261,$I261)))</f>
        <v>123 S Oak St, Telluride, CO 81435</v>
      </c>
    </row>
    <row r="262" customFormat="false" ht="15" hidden="false" customHeight="true" outlineLevel="0" collapsed="false">
      <c r="A262" s="5" t="s">
        <v>1012</v>
      </c>
      <c r="B262" s="5" t="s">
        <v>1012</v>
      </c>
      <c r="C262" s="5"/>
      <c r="D262" s="5" t="s">
        <v>1013</v>
      </c>
      <c r="E262" s="5" t="s">
        <v>182</v>
      </c>
      <c r="F262" s="5"/>
      <c r="G262" s="5" t="s">
        <v>31</v>
      </c>
      <c r="H262" s="5" t="s">
        <v>183</v>
      </c>
      <c r="I262" s="5" t="s">
        <v>184</v>
      </c>
      <c r="J262" s="6" t="n">
        <v>1</v>
      </c>
      <c r="K262" s="5" t="s">
        <v>76</v>
      </c>
      <c r="L262" s="5" t="n">
        <f aca="false">IF($K262="",0,LEN($K262)-LEN(SUBSTITUTE($K262,",",""))+1)</f>
        <v>1</v>
      </c>
      <c r="M262" s="5" t="s">
        <v>44</v>
      </c>
      <c r="N262" s="5" t="str">
        <f aca="false">TRIM($A262&amp;" "&amp;IF($C262="",$R262,$C262&amp;" "&amp;$D262&amp;" "&amp;$E262&amp;" "&amp;$F262))</f>
        <v>A+ Liquor Store/G &amp; H Liquor</v>
      </c>
      <c r="O262" s="5" t="str">
        <f aca="false">IF($P262&lt;&gt;"","Exclude",IF(AND($M262&lt;&gt;"Full address",$R262=""),"Needs address",IF($J262&lt;0.5,"Hold - low volume",IF(LEFT($W262,3)="Low","Verify address",IF($G262="Needs review","Needs premise review",IF($X262="Estimated","Ready - address estimated","Ready"))))))</f>
        <v>Needs address</v>
      </c>
      <c r="P262" s="5"/>
      <c r="Q262" s="5" t="s">
        <v>185</v>
      </c>
      <c r="R262" s="5"/>
      <c r="S262" s="5"/>
      <c r="T262" s="7"/>
      <c r="U262" s="7"/>
      <c r="V262" s="5"/>
      <c r="W262" s="5"/>
      <c r="X262" s="5" t="s">
        <v>3</v>
      </c>
      <c r="Y262" s="8" t="str">
        <f aca="false">IF($C262&lt;&gt;"",TRIM($C262&amp;", "&amp;$D262&amp;", "&amp;$E262&amp;" "&amp;$F262),IF($R262&lt;&gt;"",$R262,IF($D262&lt;&gt;"",$D262&amp;", "&amp;$E262,$I262)))</f>
        <v>Miami, FL</v>
      </c>
    </row>
    <row r="263" customFormat="false" ht="15" hidden="false" customHeight="true" outlineLevel="0" collapsed="false">
      <c r="A263" s="5" t="s">
        <v>1014</v>
      </c>
      <c r="B263" s="5" t="s">
        <v>1014</v>
      </c>
      <c r="C263" s="5"/>
      <c r="D263" s="5" t="s">
        <v>1015</v>
      </c>
      <c r="E263" s="5" t="s">
        <v>182</v>
      </c>
      <c r="F263" s="5"/>
      <c r="G263" s="5" t="s">
        <v>31</v>
      </c>
      <c r="H263" s="5" t="s">
        <v>183</v>
      </c>
      <c r="I263" s="5" t="s">
        <v>184</v>
      </c>
      <c r="J263" s="6" t="n">
        <v>1</v>
      </c>
      <c r="K263" s="5" t="s">
        <v>426</v>
      </c>
      <c r="L263" s="5" t="n">
        <f aca="false">IF($K263="",0,LEN($K263)-LEN(SUBSTITUTE($K263,",",""))+1)</f>
        <v>1</v>
      </c>
      <c r="M263" s="5" t="s">
        <v>44</v>
      </c>
      <c r="N263" s="5" t="str">
        <f aca="false">TRIM($A263&amp;" "&amp;IF($C263="",$R263,$C263&amp;" "&amp;$D263&amp;" "&amp;$E263&amp;" "&amp;$F263))</f>
        <v>Davenport Wines and Spirits</v>
      </c>
      <c r="O263" s="5" t="str">
        <f aca="false">IF($P263&lt;&gt;"","Exclude",IF(AND($M263&lt;&gt;"Full address",$R263=""),"Needs address",IF($J263&lt;0.5,"Hold - low volume",IF(LEFT($W263,3)="Low","Verify address",IF($G263="Needs review","Needs premise review",IF($X263="Estimated","Ready - address estimated","Ready"))))))</f>
        <v>Needs address</v>
      </c>
      <c r="P263" s="5"/>
      <c r="Q263" s="5" t="s">
        <v>185</v>
      </c>
      <c r="R263" s="5"/>
      <c r="S263" s="5"/>
      <c r="T263" s="7"/>
      <c r="U263" s="7"/>
      <c r="V263" s="5"/>
      <c r="W263" s="5"/>
      <c r="X263" s="5" t="s">
        <v>3</v>
      </c>
      <c r="Y263" s="8" t="str">
        <f aca="false">IF($C263&lt;&gt;"",TRIM($C263&amp;", "&amp;$D263&amp;", "&amp;$E263&amp;" "&amp;$F263),IF($R263&lt;&gt;"",$R263,IF($D263&lt;&gt;"",$D263&amp;", "&amp;$E263,$I263)))</f>
        <v>Davenport, FL</v>
      </c>
    </row>
    <row r="264" customFormat="false" ht="15" hidden="false" customHeight="true" outlineLevel="0" collapsed="false">
      <c r="A264" s="5" t="s">
        <v>1016</v>
      </c>
      <c r="B264" s="5" t="s">
        <v>1017</v>
      </c>
      <c r="C264" s="5" t="s">
        <v>1018</v>
      </c>
      <c r="D264" s="5" t="s">
        <v>120</v>
      </c>
      <c r="E264" s="5" t="s">
        <v>29</v>
      </c>
      <c r="F264" s="5" t="s">
        <v>1019</v>
      </c>
      <c r="G264" s="5" t="s">
        <v>144</v>
      </c>
      <c r="H264" s="5" t="s">
        <v>32</v>
      </c>
      <c r="I264" s="5" t="s">
        <v>33</v>
      </c>
      <c r="J264" s="6" t="n">
        <v>1</v>
      </c>
      <c r="K264" s="5" t="s">
        <v>426</v>
      </c>
      <c r="L264" s="5" t="n">
        <f aca="false">IF($K264="",0,LEN($K264)-LEN(SUBSTITUTE($K264,",",""))+1)</f>
        <v>1</v>
      </c>
      <c r="M264" s="5" t="s">
        <v>35</v>
      </c>
      <c r="N264" s="5" t="str">
        <f aca="false">TRIM($A264&amp;" "&amp;IF($C264="",$R264,$C264&amp;" "&amp;$D264&amp;" "&amp;$E264&amp;" "&amp;$F264))</f>
        <v>448 Moreland Ave NE #448 448 Moreland Ave NE Atlanta GA 30307</v>
      </c>
      <c r="O264" s="5" t="str">
        <f aca="false">IF($P264&lt;&gt;"","Exclude",IF(AND($M264&lt;&gt;"Full address",$R264=""),"Needs address",IF($J264&lt;0.5,"Hold - low volume",IF(LEFT($W264,3)="Low","Verify address",IF($G264="Needs review","Needs premise review",IF($X264="Estimated","Ready - address estimated","Ready"))))))</f>
        <v>Needs premise review</v>
      </c>
      <c r="P264" s="5"/>
      <c r="Q264" s="5" t="s">
        <v>36</v>
      </c>
      <c r="R264" s="5"/>
      <c r="S264" s="5"/>
      <c r="T264" s="7"/>
      <c r="U264" s="7"/>
      <c r="V264" s="5"/>
      <c r="W264" s="5"/>
      <c r="X264" s="5" t="s">
        <v>37</v>
      </c>
      <c r="Y264" s="8" t="str">
        <f aca="false">IF($C264&lt;&gt;"",TRIM($C264&amp;", "&amp;$D264&amp;", "&amp;$E264&amp;" "&amp;$F264),IF($R264&lt;&gt;"",$R264,IF($D264&lt;&gt;"",$D264&amp;", "&amp;$E264,$I264)))</f>
        <v>448 Moreland Ave NE, Atlanta, GA 30307</v>
      </c>
    </row>
    <row r="265" customFormat="false" ht="15" hidden="false" customHeight="true" outlineLevel="0" collapsed="false">
      <c r="A265" s="5" t="s">
        <v>1020</v>
      </c>
      <c r="B265" s="5" t="s">
        <v>1021</v>
      </c>
      <c r="C265" s="5" t="s">
        <v>1020</v>
      </c>
      <c r="D265" s="5" t="s">
        <v>451</v>
      </c>
      <c r="E265" s="5" t="s">
        <v>29</v>
      </c>
      <c r="F265" s="5" t="s">
        <v>452</v>
      </c>
      <c r="G265" s="5" t="s">
        <v>144</v>
      </c>
      <c r="H265" s="5" t="s">
        <v>32</v>
      </c>
      <c r="I265" s="5" t="s">
        <v>33</v>
      </c>
      <c r="J265" s="6" t="n">
        <v>1</v>
      </c>
      <c r="K265" s="5" t="s">
        <v>426</v>
      </c>
      <c r="L265" s="5" t="n">
        <f aca="false">IF($K265="",0,LEN($K265)-LEN(SUBSTITUTE($K265,",",""))+1)</f>
        <v>1</v>
      </c>
      <c r="M265" s="5" t="s">
        <v>35</v>
      </c>
      <c r="N265" s="5" t="str">
        <f aca="false">TRIM($A265&amp;" "&amp;IF($C265="",$R265,$C265&amp;" "&amp;$D265&amp;" "&amp;$E265&amp;" "&amp;$F265))</f>
        <v>4866 Jonesboro Rd 4866 Jonesboro Rd Forest Park GA 30297</v>
      </c>
      <c r="O265" s="5" t="str">
        <f aca="false">IF($P265&lt;&gt;"","Exclude",IF(AND($M265&lt;&gt;"Full address",$R265=""),"Needs address",IF($J265&lt;0.5,"Hold - low volume",IF(LEFT($W265,3)="Low","Verify address",IF($G265="Needs review","Needs premise review",IF($X265="Estimated","Ready - address estimated","Ready"))))))</f>
        <v>Needs premise review</v>
      </c>
      <c r="P265" s="5"/>
      <c r="Q265" s="5" t="s">
        <v>36</v>
      </c>
      <c r="R265" s="5"/>
      <c r="S265" s="5"/>
      <c r="T265" s="7"/>
      <c r="U265" s="7"/>
      <c r="V265" s="5"/>
      <c r="W265" s="5"/>
      <c r="X265" s="5" t="s">
        <v>37</v>
      </c>
      <c r="Y265" s="8" t="str">
        <f aca="false">IF($C265&lt;&gt;"",TRIM($C265&amp;", "&amp;$D265&amp;", "&amp;$E265&amp;" "&amp;$F265),IF($R265&lt;&gt;"",$R265,IF($D265&lt;&gt;"",$D265&amp;", "&amp;$E265,$I265)))</f>
        <v>4866 Jonesboro Rd, Forest Park, GA 30297</v>
      </c>
    </row>
    <row r="266" customFormat="false" ht="15" hidden="false" customHeight="true" outlineLevel="0" collapsed="false">
      <c r="A266" s="5" t="s">
        <v>1022</v>
      </c>
      <c r="B266" s="5" t="s">
        <v>1023</v>
      </c>
      <c r="C266" s="5" t="s">
        <v>1024</v>
      </c>
      <c r="D266" s="5" t="s">
        <v>473</v>
      </c>
      <c r="E266" s="5" t="s">
        <v>29</v>
      </c>
      <c r="F266" s="5" t="s">
        <v>1025</v>
      </c>
      <c r="G266" s="5" t="s">
        <v>31</v>
      </c>
      <c r="H266" s="5" t="s">
        <v>437</v>
      </c>
      <c r="I266" s="5" t="s">
        <v>33</v>
      </c>
      <c r="J266" s="6" t="n">
        <v>1</v>
      </c>
      <c r="K266" s="5" t="s">
        <v>469</v>
      </c>
      <c r="L266" s="5" t="n">
        <f aca="false">IF($K266="",0,LEN($K266)-LEN(SUBSTITUTE($K266,",",""))+1)</f>
        <v>1</v>
      </c>
      <c r="M266" s="5" t="s">
        <v>35</v>
      </c>
      <c r="N266" s="5" t="str">
        <f aca="false">TRIM($A266&amp;" "&amp;IF($C266="",$R266,$C266&amp;" "&amp;$D266&amp;" "&amp;$E266&amp;" "&amp;$F266))</f>
        <v>ABC LIQUOR-WAREHOUSE 1100 Eisenhower Dr Savannah GA 31406</v>
      </c>
      <c r="O266" s="5" t="str">
        <f aca="false">IF($P266&lt;&gt;"","Exclude",IF(AND($M266&lt;&gt;"Full address",$R266=""),"Needs address",IF($J266&lt;0.5,"Hold - low volume",IF(LEFT($W266,3)="Low","Verify address",IF($G266="Needs review","Needs premise review",IF($X266="Estimated","Ready - address estimated","Ready"))))))</f>
        <v>Ready</v>
      </c>
      <c r="P266" s="5"/>
      <c r="Q266" s="5" t="s">
        <v>36</v>
      </c>
      <c r="R266" s="5"/>
      <c r="S266" s="5"/>
      <c r="T266" s="7"/>
      <c r="U266" s="7"/>
      <c r="V266" s="5"/>
      <c r="W266" s="5"/>
      <c r="X266" s="5" t="s">
        <v>37</v>
      </c>
      <c r="Y266" s="8" t="str">
        <f aca="false">IF($C266&lt;&gt;"",TRIM($C266&amp;", "&amp;$D266&amp;", "&amp;$E266&amp;" "&amp;$F266),IF($R266&lt;&gt;"",$R266,IF($D266&lt;&gt;"",$D266&amp;", "&amp;$E266,$I266)))</f>
        <v>1100 Eisenhower Dr, Savannah, GA 31406</v>
      </c>
    </row>
    <row r="267" customFormat="false" ht="15" hidden="false" customHeight="true" outlineLevel="0" collapsed="false">
      <c r="A267" s="5" t="s">
        <v>1026</v>
      </c>
      <c r="B267" s="5" t="s">
        <v>1027</v>
      </c>
      <c r="C267" s="5" t="s">
        <v>1028</v>
      </c>
      <c r="D267" s="5" t="s">
        <v>91</v>
      </c>
      <c r="E267" s="5" t="s">
        <v>29</v>
      </c>
      <c r="F267" s="5" t="s">
        <v>263</v>
      </c>
      <c r="G267" s="5" t="s">
        <v>31</v>
      </c>
      <c r="H267" s="5" t="s">
        <v>32</v>
      </c>
      <c r="I267" s="5" t="s">
        <v>33</v>
      </c>
      <c r="J267" s="6" t="n">
        <v>1</v>
      </c>
      <c r="K267" s="5" t="s">
        <v>426</v>
      </c>
      <c r="L267" s="5" t="n">
        <f aca="false">IF($K267="",0,LEN($K267)-LEN(SUBSTITUTE($K267,",",""))+1)</f>
        <v>1</v>
      </c>
      <c r="M267" s="5" t="s">
        <v>35</v>
      </c>
      <c r="N267" s="5" t="str">
        <f aca="false">TRIM($A267&amp;" "&amp;IF($C267="",$R267,$C267&amp;" "&amp;$D267&amp;" "&amp;$E267&amp;" "&amp;$F267))</f>
        <v>ABC Package Store 4278 Covington Hwy Decatur GA 30035</v>
      </c>
      <c r="O267" s="5" t="str">
        <f aca="false">IF($P267&lt;&gt;"","Exclude",IF(AND($M267&lt;&gt;"Full address",$R267=""),"Needs address",IF($J267&lt;0.5,"Hold - low volume",IF(LEFT($W267,3)="Low","Verify address",IF($G267="Needs review","Needs premise review",IF($X267="Estimated","Ready - address estimated","Ready"))))))</f>
        <v>Ready</v>
      </c>
      <c r="P267" s="5"/>
      <c r="Q267" s="5" t="s">
        <v>36</v>
      </c>
      <c r="R267" s="5"/>
      <c r="S267" s="5"/>
      <c r="T267" s="7"/>
      <c r="U267" s="7"/>
      <c r="V267" s="5"/>
      <c r="W267" s="5"/>
      <c r="X267" s="5" t="s">
        <v>37</v>
      </c>
      <c r="Y267" s="8" t="str">
        <f aca="false">IF($C267&lt;&gt;"",TRIM($C267&amp;", "&amp;$D267&amp;", "&amp;$E267&amp;" "&amp;$F267),IF($R267&lt;&gt;"",$R267,IF($D267&lt;&gt;"",$D267&amp;", "&amp;$E267,$I267)))</f>
        <v>4278 Covington Hwy, Decatur, GA 30035</v>
      </c>
    </row>
    <row r="268" customFormat="false" ht="15" hidden="false" customHeight="true" outlineLevel="0" collapsed="false">
      <c r="A268" s="5" t="s">
        <v>1029</v>
      </c>
      <c r="B268" s="5" t="s">
        <v>1030</v>
      </c>
      <c r="C268" s="5" t="s">
        <v>1031</v>
      </c>
      <c r="D268" s="5" t="s">
        <v>1032</v>
      </c>
      <c r="E268" s="5" t="s">
        <v>29</v>
      </c>
      <c r="F268" s="5" t="s">
        <v>1033</v>
      </c>
      <c r="G268" s="5" t="s">
        <v>31</v>
      </c>
      <c r="H268" s="5" t="s">
        <v>32</v>
      </c>
      <c r="I268" s="5" t="s">
        <v>33</v>
      </c>
      <c r="J268" s="6" t="n">
        <v>1</v>
      </c>
      <c r="K268" s="5" t="s">
        <v>63</v>
      </c>
      <c r="L268" s="5" t="n">
        <f aca="false">IF($K268="",0,LEN($K268)-LEN(SUBSTITUTE($K268,",",""))+1)</f>
        <v>2</v>
      </c>
      <c r="M268" s="5" t="s">
        <v>35</v>
      </c>
      <c r="N268" s="5" t="str">
        <f aca="false">TRIM($A268&amp;" "&amp;IF($C268="",$R268,$C268&amp;" "&amp;$D268&amp;" "&amp;$E268&amp;" "&amp;$F268))</f>
        <v>Bainbridge Bottle Shop, LLC 925 E Shotwell St Bainbridge GA 39819</v>
      </c>
      <c r="O268" s="5" t="str">
        <f aca="false">IF($P268&lt;&gt;"","Exclude",IF(AND($M268&lt;&gt;"Full address",$R268=""),"Needs address",IF($J268&lt;0.5,"Hold - low volume",IF(LEFT($W268,3)="Low","Verify address",IF($G268="Needs review","Needs premise review",IF($X268="Estimated","Ready - address estimated","Ready"))))))</f>
        <v>Ready</v>
      </c>
      <c r="P268" s="5"/>
      <c r="Q268" s="5" t="s">
        <v>36</v>
      </c>
      <c r="R268" s="5"/>
      <c r="S268" s="5"/>
      <c r="T268" s="7"/>
      <c r="U268" s="7"/>
      <c r="V268" s="5"/>
      <c r="W268" s="5"/>
      <c r="X268" s="5" t="s">
        <v>37</v>
      </c>
      <c r="Y268" s="8" t="str">
        <f aca="false">IF($C268&lt;&gt;"",TRIM($C268&amp;", "&amp;$D268&amp;", "&amp;$E268&amp;" "&amp;$F268),IF($R268&lt;&gt;"",$R268,IF($D268&lt;&gt;"",$D268&amp;", "&amp;$E268,$I268)))</f>
        <v>925 E Shotwell St, Bainbridge, GA 39819</v>
      </c>
    </row>
    <row r="269" customFormat="false" ht="15" hidden="false" customHeight="true" outlineLevel="0" collapsed="false">
      <c r="A269" s="5" t="s">
        <v>1034</v>
      </c>
      <c r="B269" s="5" t="s">
        <v>1034</v>
      </c>
      <c r="C269" s="5" t="s">
        <v>1035</v>
      </c>
      <c r="D269" s="5" t="s">
        <v>1036</v>
      </c>
      <c r="E269" s="5" t="s">
        <v>29</v>
      </c>
      <c r="F269" s="5" t="s">
        <v>242</v>
      </c>
      <c r="G269" s="5" t="s">
        <v>31</v>
      </c>
      <c r="H269" s="5" t="s">
        <v>32</v>
      </c>
      <c r="I269" s="5" t="s">
        <v>33</v>
      </c>
      <c r="J269" s="6" t="n">
        <v>1</v>
      </c>
      <c r="K269" s="5" t="s">
        <v>76</v>
      </c>
      <c r="L269" s="5" t="n">
        <f aca="false">IF($K269="",0,LEN($K269)-LEN(SUBSTITUTE($K269,",",""))+1)</f>
        <v>1</v>
      </c>
      <c r="M269" s="5" t="s">
        <v>35</v>
      </c>
      <c r="N269" s="5" t="str">
        <f aca="false">TRIM($A269&amp;" "&amp;IF($C269="",$R269,$C269&amp;" "&amp;$D269&amp;" "&amp;$E269&amp;" "&amp;$F269))</f>
        <v>Barrel Town - Fine Wine, Beer &amp; Spirits - Sandy 6300 Powers Ferry Rd NW Sandy Springs GA 30339</v>
      </c>
      <c r="O269" s="5" t="str">
        <f aca="false">IF($P269&lt;&gt;"","Exclude",IF(AND($M269&lt;&gt;"Full address",$R269=""),"Needs address",IF($J269&lt;0.5,"Hold - low volume",IF(LEFT($W269,3)="Low","Verify address",IF($G269="Needs review","Needs premise review",IF($X269="Estimated","Ready - address estimated","Ready"))))))</f>
        <v>Ready</v>
      </c>
      <c r="P269" s="5"/>
      <c r="Q269" s="5" t="s">
        <v>36</v>
      </c>
      <c r="R269" s="5"/>
      <c r="S269" s="5"/>
      <c r="T269" s="7"/>
      <c r="U269" s="7"/>
      <c r="V269" s="5"/>
      <c r="W269" s="5"/>
      <c r="X269" s="5" t="s">
        <v>37</v>
      </c>
      <c r="Y269" s="8" t="str">
        <f aca="false">IF($C269&lt;&gt;"",TRIM($C269&amp;", "&amp;$D269&amp;", "&amp;$E269&amp;" "&amp;$F269),IF($R269&lt;&gt;"",$R269,IF($D269&lt;&gt;"",$D269&amp;", "&amp;$E269,$I269)))</f>
        <v>6300 Powers Ferry Rd NW, Sandy Springs, GA 30339</v>
      </c>
    </row>
    <row r="270" customFormat="false" ht="15" hidden="false" customHeight="true" outlineLevel="0" collapsed="false">
      <c r="A270" s="5" t="s">
        <v>1037</v>
      </c>
      <c r="B270" s="5" t="s">
        <v>1038</v>
      </c>
      <c r="C270" s="5" t="s">
        <v>1039</v>
      </c>
      <c r="D270" s="5" t="s">
        <v>1040</v>
      </c>
      <c r="E270" s="5" t="s">
        <v>29</v>
      </c>
      <c r="F270" s="5" t="s">
        <v>1041</v>
      </c>
      <c r="G270" s="5" t="s">
        <v>31</v>
      </c>
      <c r="H270" s="5" t="s">
        <v>32</v>
      </c>
      <c r="I270" s="5" t="s">
        <v>33</v>
      </c>
      <c r="J270" s="6" t="n">
        <v>1</v>
      </c>
      <c r="K270" s="5" t="s">
        <v>426</v>
      </c>
      <c r="L270" s="5" t="n">
        <f aca="false">IF($K270="",0,LEN($K270)-LEN(SUBSTITUTE($K270,",",""))+1)</f>
        <v>1</v>
      </c>
      <c r="M270" s="5" t="s">
        <v>35</v>
      </c>
      <c r="N270" s="5" t="str">
        <f aca="false">TRIM($A270&amp;" "&amp;IF($C270="",$R270,$C270&amp;" "&amp;$D270&amp;" "&amp;$E270&amp;" "&amp;$F270))</f>
        <v>Big Brockett Package Store 1345 Brockett Rd Clarkston GA 30021</v>
      </c>
      <c r="O270" s="5" t="str">
        <f aca="false">IF($P270&lt;&gt;"","Exclude",IF(AND($M270&lt;&gt;"Full address",$R270=""),"Needs address",IF($J270&lt;0.5,"Hold - low volume",IF(LEFT($W270,3)="Low","Verify address",IF($G270="Needs review","Needs premise review",IF($X270="Estimated","Ready - address estimated","Ready"))))))</f>
        <v>Ready</v>
      </c>
      <c r="P270" s="5"/>
      <c r="Q270" s="5" t="s">
        <v>36</v>
      </c>
      <c r="R270" s="5"/>
      <c r="S270" s="5"/>
      <c r="T270" s="7"/>
      <c r="U270" s="7"/>
      <c r="V270" s="5"/>
      <c r="W270" s="5"/>
      <c r="X270" s="5" t="s">
        <v>37</v>
      </c>
      <c r="Y270" s="8" t="str">
        <f aca="false">IF($C270&lt;&gt;"",TRIM($C270&amp;", "&amp;$D270&amp;", "&amp;$E270&amp;" "&amp;$F270),IF($R270&lt;&gt;"",$R270,IF($D270&lt;&gt;"",$D270&amp;", "&amp;$E270,$I270)))</f>
        <v>1345 Brockett Rd, Clarkston, GA 30021</v>
      </c>
    </row>
    <row r="271" customFormat="false" ht="15" hidden="false" customHeight="true" outlineLevel="0" collapsed="false">
      <c r="A271" s="5" t="s">
        <v>1042</v>
      </c>
      <c r="B271" s="5" t="s">
        <v>1043</v>
      </c>
      <c r="C271" s="5" t="s">
        <v>1044</v>
      </c>
      <c r="D271" s="5" t="s">
        <v>120</v>
      </c>
      <c r="E271" s="5" t="s">
        <v>29</v>
      </c>
      <c r="F271" s="5" t="s">
        <v>1045</v>
      </c>
      <c r="G271" s="5" t="s">
        <v>31</v>
      </c>
      <c r="H271" s="5" t="s">
        <v>32</v>
      </c>
      <c r="I271" s="5" t="s">
        <v>33</v>
      </c>
      <c r="J271" s="6" t="n">
        <v>1</v>
      </c>
      <c r="K271" s="5" t="s">
        <v>426</v>
      </c>
      <c r="L271" s="5" t="n">
        <f aca="false">IF($K271="",0,LEN($K271)-LEN(SUBSTITUTE($K271,",",""))+1)</f>
        <v>1</v>
      </c>
      <c r="M271" s="5" t="s">
        <v>35</v>
      </c>
      <c r="N271" s="5" t="str">
        <f aca="false">TRIM($A271&amp;" "&amp;IF($C271="",$R271,$C271&amp;" "&amp;$D271&amp;" "&amp;$E271&amp;" "&amp;$F271))</f>
        <v>Camp Creek World Of Beverages 3780 PRINCETON LAKES Atlanta GA 30331</v>
      </c>
      <c r="O271" s="5" t="str">
        <f aca="false">IF($P271&lt;&gt;"","Exclude",IF(AND($M271&lt;&gt;"Full address",$R271=""),"Needs address",IF($J271&lt;0.5,"Hold - low volume",IF(LEFT($W271,3)="Low","Verify address",IF($G271="Needs review","Needs premise review",IF($X271="Estimated","Ready - address estimated","Ready"))))))</f>
        <v>Ready</v>
      </c>
      <c r="P271" s="5"/>
      <c r="Q271" s="5" t="s">
        <v>36</v>
      </c>
      <c r="R271" s="5"/>
      <c r="S271" s="5"/>
      <c r="T271" s="7"/>
      <c r="U271" s="7"/>
      <c r="V271" s="5"/>
      <c r="W271" s="5"/>
      <c r="X271" s="5" t="s">
        <v>37</v>
      </c>
      <c r="Y271" s="8" t="str">
        <f aca="false">IF($C271&lt;&gt;"",TRIM($C271&amp;", "&amp;$D271&amp;", "&amp;$E271&amp;" "&amp;$F271),IF($R271&lt;&gt;"",$R271,IF($D271&lt;&gt;"",$D271&amp;", "&amp;$E271,$I271)))</f>
        <v>3780 PRINCETON LAKES, Atlanta, GA 30331</v>
      </c>
    </row>
    <row r="272" customFormat="false" ht="15" hidden="false" customHeight="true" outlineLevel="0" collapsed="false">
      <c r="A272" s="5" t="s">
        <v>1046</v>
      </c>
      <c r="B272" s="5" t="s">
        <v>1047</v>
      </c>
      <c r="C272" s="5" t="s">
        <v>1048</v>
      </c>
      <c r="D272" s="5" t="s">
        <v>91</v>
      </c>
      <c r="E272" s="5" t="s">
        <v>29</v>
      </c>
      <c r="F272" s="5" t="s">
        <v>224</v>
      </c>
      <c r="G272" s="5" t="s">
        <v>31</v>
      </c>
      <c r="H272" s="5" t="s">
        <v>32</v>
      </c>
      <c r="I272" s="5" t="s">
        <v>33</v>
      </c>
      <c r="J272" s="6" t="n">
        <v>1</v>
      </c>
      <c r="K272" s="5" t="s">
        <v>426</v>
      </c>
      <c r="L272" s="5" t="n">
        <f aca="false">IF($K272="",0,LEN($K272)-LEN(SUBSTITUTE($K272,",",""))+1)</f>
        <v>1</v>
      </c>
      <c r="M272" s="5" t="s">
        <v>35</v>
      </c>
      <c r="N272" s="5" t="str">
        <f aca="false">TRIM($A272&amp;" "&amp;IF($C272="",$R272,$C272&amp;" "&amp;$D272&amp;" "&amp;$E272&amp;" "&amp;$F272))</f>
        <v>Drive Thru Package 4091 Glenwood Rd Decatur GA 30032</v>
      </c>
      <c r="O272" s="5" t="str">
        <f aca="false">IF($P272&lt;&gt;"","Exclude",IF(AND($M272&lt;&gt;"Full address",$R272=""),"Needs address",IF($J272&lt;0.5,"Hold - low volume",IF(LEFT($W272,3)="Low","Verify address",IF($G272="Needs review","Needs premise review",IF($X272="Estimated","Ready - address estimated","Ready"))))))</f>
        <v>Ready</v>
      </c>
      <c r="P272" s="5"/>
      <c r="Q272" s="5" t="s">
        <v>36</v>
      </c>
      <c r="R272" s="5"/>
      <c r="S272" s="5"/>
      <c r="T272" s="7"/>
      <c r="U272" s="7"/>
      <c r="V272" s="5"/>
      <c r="W272" s="5"/>
      <c r="X272" s="5" t="s">
        <v>37</v>
      </c>
      <c r="Y272" s="8" t="str">
        <f aca="false">IF($C272&lt;&gt;"",TRIM($C272&amp;", "&amp;$D272&amp;", "&amp;$E272&amp;" "&amp;$F272),IF($R272&lt;&gt;"",$R272,IF($D272&lt;&gt;"",$D272&amp;", "&amp;$E272,$I272)))</f>
        <v>4091 Glenwood Rd, Decatur, GA 30032</v>
      </c>
    </row>
    <row r="273" customFormat="false" ht="15" hidden="false" customHeight="true" outlineLevel="0" collapsed="false">
      <c r="A273" s="5" t="s">
        <v>1049</v>
      </c>
      <c r="B273" s="5" t="s">
        <v>1050</v>
      </c>
      <c r="C273" s="5" t="s">
        <v>1051</v>
      </c>
      <c r="D273" s="5" t="s">
        <v>96</v>
      </c>
      <c r="E273" s="5" t="s">
        <v>29</v>
      </c>
      <c r="F273" s="5" t="s">
        <v>97</v>
      </c>
      <c r="G273" s="5" t="s">
        <v>31</v>
      </c>
      <c r="H273" s="5" t="s">
        <v>32</v>
      </c>
      <c r="I273" s="5" t="s">
        <v>33</v>
      </c>
      <c r="J273" s="6" t="n">
        <v>1</v>
      </c>
      <c r="K273" s="5" t="s">
        <v>426</v>
      </c>
      <c r="L273" s="5" t="n">
        <f aca="false">IF($K273="",0,LEN($K273)-LEN(SUBSTITUTE($K273,",",""))+1)</f>
        <v>1</v>
      </c>
      <c r="M273" s="5" t="s">
        <v>35</v>
      </c>
      <c r="N273" s="5" t="str">
        <f aca="false">TRIM($A273&amp;" "&amp;IF($C273="",$R273,$C273&amp;" "&amp;$D273&amp;" "&amp;$E273&amp;" "&amp;$F273))</f>
        <v>Five Points Fine Wine &amp; Spirits 4143 N. Valdosta Road Valdosta GA 31602</v>
      </c>
      <c r="O273" s="5" t="str">
        <f aca="false">IF($P273&lt;&gt;"","Exclude",IF(AND($M273&lt;&gt;"Full address",$R273=""),"Needs address",IF($J273&lt;0.5,"Hold - low volume",IF(LEFT($W273,3)="Low","Verify address",IF($G273="Needs review","Needs premise review",IF($X273="Estimated","Ready - address estimated","Ready"))))))</f>
        <v>Ready</v>
      </c>
      <c r="P273" s="5"/>
      <c r="Q273" s="5" t="s">
        <v>36</v>
      </c>
      <c r="R273" s="5"/>
      <c r="S273" s="5"/>
      <c r="T273" s="7"/>
      <c r="U273" s="7"/>
      <c r="V273" s="5"/>
      <c r="W273" s="5"/>
      <c r="X273" s="5" t="s">
        <v>37</v>
      </c>
      <c r="Y273" s="8" t="str">
        <f aca="false">IF($C273&lt;&gt;"",TRIM($C273&amp;", "&amp;$D273&amp;", "&amp;$E273&amp;" "&amp;$F273),IF($R273&lt;&gt;"",$R273,IF($D273&lt;&gt;"",$D273&amp;", "&amp;$E273,$I273)))</f>
        <v>4143 N. Valdosta Road, Valdosta, GA 31602</v>
      </c>
    </row>
    <row r="274" customFormat="false" ht="15" hidden="false" customHeight="true" outlineLevel="0" collapsed="false">
      <c r="A274" s="5" t="s">
        <v>1052</v>
      </c>
      <c r="B274" s="5" t="s">
        <v>1053</v>
      </c>
      <c r="C274" s="5" t="s">
        <v>1054</v>
      </c>
      <c r="D274" s="5" t="s">
        <v>1055</v>
      </c>
      <c r="E274" s="5" t="s">
        <v>29</v>
      </c>
      <c r="F274" s="5" t="s">
        <v>1056</v>
      </c>
      <c r="G274" s="5" t="s">
        <v>31</v>
      </c>
      <c r="H274" s="5" t="s">
        <v>32</v>
      </c>
      <c r="I274" s="5" t="s">
        <v>33</v>
      </c>
      <c r="J274" s="6" t="n">
        <v>1</v>
      </c>
      <c r="K274" s="5" t="s">
        <v>426</v>
      </c>
      <c r="L274" s="5" t="n">
        <f aca="false">IF($K274="",0,LEN($K274)-LEN(SUBSTITUTE($K274,",",""))+1)</f>
        <v>1</v>
      </c>
      <c r="M274" s="5" t="s">
        <v>35</v>
      </c>
      <c r="N274" s="5" t="str">
        <f aca="false">TRIM($A274&amp;" "&amp;IF($C274="",$R274,$C274&amp;" "&amp;$D274&amp;" "&amp;$E274&amp;" "&amp;$F274))</f>
        <v>Gary's Wine &amp; More 3010 RIVER CLUB DRIVE Cumming GA 30041</v>
      </c>
      <c r="O274" s="5" t="str">
        <f aca="false">IF($P274&lt;&gt;"","Exclude",IF(AND($M274&lt;&gt;"Full address",$R274=""),"Needs address",IF($J274&lt;0.5,"Hold - low volume",IF(LEFT($W274,3)="Low","Verify address",IF($G274="Needs review","Needs premise review",IF($X274="Estimated","Ready - address estimated","Ready"))))))</f>
        <v>Ready</v>
      </c>
      <c r="P274" s="5"/>
      <c r="Q274" s="5" t="s">
        <v>36</v>
      </c>
      <c r="R274" s="5"/>
      <c r="S274" s="5"/>
      <c r="T274" s="7"/>
      <c r="U274" s="7"/>
      <c r="V274" s="5"/>
      <c r="W274" s="5"/>
      <c r="X274" s="5" t="s">
        <v>37</v>
      </c>
      <c r="Y274" s="8" t="str">
        <f aca="false">IF($C274&lt;&gt;"",TRIM($C274&amp;", "&amp;$D274&amp;", "&amp;$E274&amp;" "&amp;$F274),IF($R274&lt;&gt;"",$R274,IF($D274&lt;&gt;"",$D274&amp;", "&amp;$E274,$I274)))</f>
        <v>3010 RIVER CLUB DRIVE, Cumming, GA 30041</v>
      </c>
    </row>
    <row r="275" customFormat="false" ht="15" hidden="false" customHeight="true" outlineLevel="0" collapsed="false">
      <c r="A275" s="5" t="s">
        <v>1057</v>
      </c>
      <c r="B275" s="5" t="s">
        <v>1057</v>
      </c>
      <c r="C275" s="5" t="s">
        <v>1058</v>
      </c>
      <c r="D275" s="5" t="s">
        <v>120</v>
      </c>
      <c r="E275" s="5" t="s">
        <v>29</v>
      </c>
      <c r="F275" s="5" t="s">
        <v>1059</v>
      </c>
      <c r="G275" s="5" t="s">
        <v>31</v>
      </c>
      <c r="H275" s="5" t="s">
        <v>32</v>
      </c>
      <c r="I275" s="5" t="s">
        <v>33</v>
      </c>
      <c r="J275" s="6" t="n">
        <v>1</v>
      </c>
      <c r="K275" s="5" t="s">
        <v>426</v>
      </c>
      <c r="L275" s="5" t="n">
        <f aca="false">IF($K275="",0,LEN($K275)-LEN(SUBSTITUTE($K275,",",""))+1)</f>
        <v>1</v>
      </c>
      <c r="M275" s="5" t="s">
        <v>35</v>
      </c>
      <c r="N275" s="5" t="str">
        <f aca="false">TRIM($A275&amp;" "&amp;IF($C275="",$R275,$C275&amp;" "&amp;$D275&amp;" "&amp;$E275&amp;" "&amp;$F275))</f>
        <v>Green's Beverages - Ponce De Leon #000080 - Atlant 737 Ponce De Leon Ave NE Atlanta GA 30306</v>
      </c>
      <c r="O275" s="5" t="str">
        <f aca="false">IF($P275&lt;&gt;"","Exclude",IF(AND($M275&lt;&gt;"Full address",$R275=""),"Needs address",IF($J275&lt;0.5,"Hold - low volume",IF(LEFT($W275,3)="Low","Verify address",IF($G275="Needs review","Needs premise review",IF($X275="Estimated","Ready - address estimated","Ready"))))))</f>
        <v>Ready</v>
      </c>
      <c r="P275" s="5"/>
      <c r="Q275" s="5" t="s">
        <v>36</v>
      </c>
      <c r="R275" s="5"/>
      <c r="S275" s="5"/>
      <c r="T275" s="7"/>
      <c r="U275" s="7"/>
      <c r="V275" s="5"/>
      <c r="W275" s="5"/>
      <c r="X275" s="5" t="s">
        <v>37</v>
      </c>
      <c r="Y275" s="8" t="str">
        <f aca="false">IF($C275&lt;&gt;"",TRIM($C275&amp;", "&amp;$D275&amp;", "&amp;$E275&amp;" "&amp;$F275),IF($R275&lt;&gt;"",$R275,IF($D275&lt;&gt;"",$D275&amp;", "&amp;$E275,$I275)))</f>
        <v>737 Ponce De Leon Ave NE, Atlanta, GA 30306</v>
      </c>
    </row>
    <row r="276" customFormat="false" ht="15" hidden="false" customHeight="true" outlineLevel="0" collapsed="false">
      <c r="A276" s="5" t="s">
        <v>1060</v>
      </c>
      <c r="B276" s="5" t="s">
        <v>1061</v>
      </c>
      <c r="C276" s="5" t="s">
        <v>1062</v>
      </c>
      <c r="D276" s="5" t="s">
        <v>1063</v>
      </c>
      <c r="E276" s="5" t="s">
        <v>29</v>
      </c>
      <c r="F276" s="5" t="s">
        <v>1064</v>
      </c>
      <c r="G276" s="5" t="s">
        <v>31</v>
      </c>
      <c r="H276" s="5" t="s">
        <v>32</v>
      </c>
      <c r="I276" s="5" t="s">
        <v>33</v>
      </c>
      <c r="J276" s="6" t="n">
        <v>1</v>
      </c>
      <c r="K276" s="5" t="s">
        <v>426</v>
      </c>
      <c r="L276" s="5" t="n">
        <f aca="false">IF($K276="",0,LEN($K276)-LEN(SUBSTITUTE($K276,",",""))+1)</f>
        <v>1</v>
      </c>
      <c r="M276" s="5" t="s">
        <v>35</v>
      </c>
      <c r="N276" s="5" t="str">
        <f aca="false">TRIM($A276&amp;" "&amp;IF($C276="",$R276,$C276&amp;" "&amp;$D276&amp;" "&amp;$E276&amp;" "&amp;$F276))</f>
        <v>Hot Spot Liquor 1001 KIA PARKWAY West Point GA 31833</v>
      </c>
      <c r="O276" s="5" t="str">
        <f aca="false">IF($P276&lt;&gt;"","Exclude",IF(AND($M276&lt;&gt;"Full address",$R276=""),"Needs address",IF($J276&lt;0.5,"Hold - low volume",IF(LEFT($W276,3)="Low","Verify address",IF($G276="Needs review","Needs premise review",IF($X276="Estimated","Ready - address estimated","Ready"))))))</f>
        <v>Ready</v>
      </c>
      <c r="P276" s="5"/>
      <c r="Q276" s="5" t="s">
        <v>36</v>
      </c>
      <c r="R276" s="5"/>
      <c r="S276" s="5"/>
      <c r="T276" s="7"/>
      <c r="U276" s="7"/>
      <c r="V276" s="5"/>
      <c r="W276" s="5"/>
      <c r="X276" s="5" t="s">
        <v>37</v>
      </c>
      <c r="Y276" s="8" t="str">
        <f aca="false">IF($C276&lt;&gt;"",TRIM($C276&amp;", "&amp;$D276&amp;", "&amp;$E276&amp;" "&amp;$F276),IF($R276&lt;&gt;"",$R276,IF($D276&lt;&gt;"",$D276&amp;", "&amp;$E276,$I276)))</f>
        <v>1001 KIA PARKWAY, West Point, GA 31833</v>
      </c>
    </row>
    <row r="277" customFormat="false" ht="15" hidden="false" customHeight="true" outlineLevel="0" collapsed="false">
      <c r="A277" s="5" t="s">
        <v>1065</v>
      </c>
      <c r="B277" s="5" t="s">
        <v>1066</v>
      </c>
      <c r="C277" s="5" t="s">
        <v>1067</v>
      </c>
      <c r="D277" s="5" t="s">
        <v>1068</v>
      </c>
      <c r="E277" s="5" t="s">
        <v>29</v>
      </c>
      <c r="F277" s="5" t="s">
        <v>1069</v>
      </c>
      <c r="G277" s="5" t="s">
        <v>31</v>
      </c>
      <c r="H277" s="5" t="s">
        <v>32</v>
      </c>
      <c r="I277" s="5" t="s">
        <v>33</v>
      </c>
      <c r="J277" s="6" t="n">
        <v>1</v>
      </c>
      <c r="K277" s="5" t="s">
        <v>395</v>
      </c>
      <c r="L277" s="5" t="n">
        <f aca="false">IF($K277="",0,LEN($K277)-LEN(SUBSTITUTE($K277,",",""))+1)</f>
        <v>2</v>
      </c>
      <c r="M277" s="5" t="s">
        <v>35</v>
      </c>
      <c r="N277" s="5" t="str">
        <f aca="false">TRIM($A277&amp;" "&amp;IF($C277="",$R277,$C277&amp;" "&amp;$D277&amp;" "&amp;$E277&amp;" "&amp;$F277))</f>
        <v>Infinity Beverage 11245 Woodstock Rd Roswell GA 30075</v>
      </c>
      <c r="O277" s="5" t="str">
        <f aca="false">IF($P277&lt;&gt;"","Exclude",IF(AND($M277&lt;&gt;"Full address",$R277=""),"Needs address",IF($J277&lt;0.5,"Hold - low volume",IF(LEFT($W277,3)="Low","Verify address",IF($G277="Needs review","Needs premise review",IF($X277="Estimated","Ready - address estimated","Ready"))))))</f>
        <v>Ready</v>
      </c>
      <c r="P277" s="5"/>
      <c r="Q277" s="5" t="s">
        <v>36</v>
      </c>
      <c r="R277" s="5"/>
      <c r="S277" s="5"/>
      <c r="T277" s="7"/>
      <c r="U277" s="7"/>
      <c r="V277" s="5"/>
      <c r="W277" s="5"/>
      <c r="X277" s="5" t="s">
        <v>37</v>
      </c>
      <c r="Y277" s="8" t="str">
        <f aca="false">IF($C277&lt;&gt;"",TRIM($C277&amp;", "&amp;$D277&amp;", "&amp;$E277&amp;" "&amp;$F277),IF($R277&lt;&gt;"",$R277,IF($D277&lt;&gt;"",$D277&amp;", "&amp;$E277,$I277)))</f>
        <v>11245 Woodstock Rd, Roswell, GA 30075</v>
      </c>
    </row>
    <row r="278" customFormat="false" ht="15" hidden="false" customHeight="true" outlineLevel="0" collapsed="false">
      <c r="A278" s="5" t="s">
        <v>1070</v>
      </c>
      <c r="B278" s="5" t="s">
        <v>1071</v>
      </c>
      <c r="C278" s="5" t="s">
        <v>1072</v>
      </c>
      <c r="D278" s="5" t="s">
        <v>258</v>
      </c>
      <c r="E278" s="5" t="s">
        <v>29</v>
      </c>
      <c r="F278" s="5" t="s">
        <v>259</v>
      </c>
      <c r="G278" s="5" t="s">
        <v>31</v>
      </c>
      <c r="H278" s="5" t="s">
        <v>32</v>
      </c>
      <c r="I278" s="5" t="s">
        <v>33</v>
      </c>
      <c r="J278" s="6" t="n">
        <v>1</v>
      </c>
      <c r="K278" s="5" t="s">
        <v>76</v>
      </c>
      <c r="L278" s="5" t="n">
        <f aca="false">IF($K278="",0,LEN($K278)-LEN(SUBSTITUTE($K278,",",""))+1)</f>
        <v>1</v>
      </c>
      <c r="M278" s="5" t="s">
        <v>35</v>
      </c>
      <c r="N278" s="5" t="str">
        <f aca="false">TRIM($A278&amp;" "&amp;IF($C278="",$R278,$C278&amp;" "&amp;$D278&amp;" "&amp;$E278&amp;" "&amp;$F278))</f>
        <v>JAXX Beverage Superstore Conyers 1927 HIGHWAY 138 NE Conyers GA 30013</v>
      </c>
      <c r="O278" s="5" t="str">
        <f aca="false">IF($P278&lt;&gt;"","Exclude",IF(AND($M278&lt;&gt;"Full address",$R278=""),"Needs address",IF($J278&lt;0.5,"Hold - low volume",IF(LEFT($W278,3)="Low","Verify address",IF($G278="Needs review","Needs premise review",IF($X278="Estimated","Ready - address estimated","Ready"))))))</f>
        <v>Ready</v>
      </c>
      <c r="P278" s="5"/>
      <c r="Q278" s="5" t="s">
        <v>36</v>
      </c>
      <c r="R278" s="5"/>
      <c r="S278" s="5"/>
      <c r="T278" s="7"/>
      <c r="U278" s="7"/>
      <c r="V278" s="5"/>
      <c r="W278" s="5"/>
      <c r="X278" s="5" t="s">
        <v>37</v>
      </c>
      <c r="Y278" s="8" t="str">
        <f aca="false">IF($C278&lt;&gt;"",TRIM($C278&amp;", "&amp;$D278&amp;", "&amp;$E278&amp;" "&amp;$F278),IF($R278&lt;&gt;"",$R278,IF($D278&lt;&gt;"",$D278&amp;", "&amp;$E278,$I278)))</f>
        <v>1927 HIGHWAY 138 NE, Conyers, GA 30013</v>
      </c>
    </row>
    <row r="279" customFormat="false" ht="15" hidden="false" customHeight="true" outlineLevel="0" collapsed="false">
      <c r="A279" s="5" t="s">
        <v>1073</v>
      </c>
      <c r="B279" s="5" t="s">
        <v>1074</v>
      </c>
      <c r="C279" s="5" t="s">
        <v>1075</v>
      </c>
      <c r="D279" s="5" t="s">
        <v>120</v>
      </c>
      <c r="E279" s="5" t="s">
        <v>29</v>
      </c>
      <c r="F279" s="5" t="s">
        <v>1076</v>
      </c>
      <c r="G279" s="5" t="s">
        <v>31</v>
      </c>
      <c r="H279" s="5" t="s">
        <v>32</v>
      </c>
      <c r="I279" s="5" t="s">
        <v>33</v>
      </c>
      <c r="J279" s="6" t="n">
        <v>1</v>
      </c>
      <c r="K279" s="5" t="s">
        <v>325</v>
      </c>
      <c r="L279" s="5" t="n">
        <f aca="false">IF($K279="",0,LEN($K279)-LEN(SUBSTITUTE($K279,",",""))+1)</f>
        <v>3</v>
      </c>
      <c r="M279" s="5" t="s">
        <v>35</v>
      </c>
      <c r="N279" s="5" t="str">
        <f aca="false">TRIM($A279&amp;" "&amp;IF($C279="",$R279,$C279&amp;" "&amp;$D279&amp;" "&amp;$E279&amp;" "&amp;$F279))</f>
        <v>Kenny 18 Bottle Shop 1989 HOSEA L WILLIAMS DR SE STE C Atlanta GA 30317</v>
      </c>
      <c r="O279" s="5" t="str">
        <f aca="false">IF($P279&lt;&gt;"","Exclude",IF(AND($M279&lt;&gt;"Full address",$R279=""),"Needs address",IF($J279&lt;0.5,"Hold - low volume",IF(LEFT($W279,3)="Low","Verify address",IF($G279="Needs review","Needs premise review",IF($X279="Estimated","Ready - address estimated","Ready"))))))</f>
        <v>Ready</v>
      </c>
      <c r="P279" s="5"/>
      <c r="Q279" s="5" t="s">
        <v>36</v>
      </c>
      <c r="R279" s="5"/>
      <c r="S279" s="5"/>
      <c r="T279" s="7"/>
      <c r="U279" s="7"/>
      <c r="V279" s="5"/>
      <c r="W279" s="5"/>
      <c r="X279" s="5" t="s">
        <v>37</v>
      </c>
      <c r="Y279" s="8" t="str">
        <f aca="false">IF($C279&lt;&gt;"",TRIM($C279&amp;", "&amp;$D279&amp;", "&amp;$E279&amp;" "&amp;$F279),IF($R279&lt;&gt;"",$R279,IF($D279&lt;&gt;"",$D279&amp;", "&amp;$E279,$I279)))</f>
        <v>1989 HOSEA L WILLIAMS DR SE STE C, Atlanta, GA 30317</v>
      </c>
    </row>
    <row r="280" customFormat="false" ht="15" hidden="false" customHeight="true" outlineLevel="0" collapsed="false">
      <c r="A280" s="5" t="s">
        <v>1077</v>
      </c>
      <c r="B280" s="5" t="s">
        <v>1078</v>
      </c>
      <c r="C280" s="5" t="s">
        <v>1079</v>
      </c>
      <c r="D280" s="5" t="s">
        <v>1080</v>
      </c>
      <c r="E280" s="5" t="s">
        <v>29</v>
      </c>
      <c r="F280" s="5" t="s">
        <v>1081</v>
      </c>
      <c r="G280" s="5" t="s">
        <v>31</v>
      </c>
      <c r="H280" s="5" t="s">
        <v>32</v>
      </c>
      <c r="I280" s="5" t="s">
        <v>33</v>
      </c>
      <c r="J280" s="6" t="n">
        <v>1</v>
      </c>
      <c r="K280" s="5" t="s">
        <v>426</v>
      </c>
      <c r="L280" s="5" t="n">
        <f aca="false">IF($K280="",0,LEN($K280)-LEN(SUBSTITUTE($K280,",",""))+1)</f>
        <v>1</v>
      </c>
      <c r="M280" s="5" t="s">
        <v>35</v>
      </c>
      <c r="N280" s="5" t="str">
        <f aca="false">TRIM($A280&amp;" "&amp;IF($C280="",$R280,$C280&amp;" "&amp;$D280&amp;" "&amp;$E280&amp;" "&amp;$F280))</f>
        <v>Lake Liquors 7395 Browns Bridge Rd Gainesville GA 30506</v>
      </c>
      <c r="O280" s="5" t="str">
        <f aca="false">IF($P280&lt;&gt;"","Exclude",IF(AND($M280&lt;&gt;"Full address",$R280=""),"Needs address",IF($J280&lt;0.5,"Hold - low volume",IF(LEFT($W280,3)="Low","Verify address",IF($G280="Needs review","Needs premise review",IF($X280="Estimated","Ready - address estimated","Ready"))))))</f>
        <v>Ready</v>
      </c>
      <c r="P280" s="5"/>
      <c r="Q280" s="5" t="s">
        <v>36</v>
      </c>
      <c r="R280" s="5"/>
      <c r="S280" s="5"/>
      <c r="T280" s="7"/>
      <c r="U280" s="7"/>
      <c r="V280" s="5"/>
      <c r="W280" s="5"/>
      <c r="X280" s="5" t="s">
        <v>37</v>
      </c>
      <c r="Y280" s="8" t="str">
        <f aca="false">IF($C280&lt;&gt;"",TRIM($C280&amp;", "&amp;$D280&amp;", "&amp;$E280&amp;" "&amp;$F280),IF($R280&lt;&gt;"",$R280,IF($D280&lt;&gt;"",$D280&amp;", "&amp;$E280,$I280)))</f>
        <v>7395 Browns Bridge Rd, Gainesville, GA 30506</v>
      </c>
    </row>
    <row r="281" customFormat="false" ht="15" hidden="false" customHeight="true" outlineLevel="0" collapsed="false">
      <c r="A281" s="5" t="s">
        <v>1082</v>
      </c>
      <c r="B281" s="5" t="s">
        <v>1083</v>
      </c>
      <c r="C281" s="5" t="s">
        <v>1084</v>
      </c>
      <c r="D281" s="5" t="s">
        <v>435</v>
      </c>
      <c r="E281" s="5" t="s">
        <v>29</v>
      </c>
      <c r="F281" s="5" t="s">
        <v>436</v>
      </c>
      <c r="G281" s="5" t="s">
        <v>31</v>
      </c>
      <c r="H281" s="5" t="s">
        <v>437</v>
      </c>
      <c r="I281" s="5" t="s">
        <v>33</v>
      </c>
      <c r="J281" s="6" t="n">
        <v>1</v>
      </c>
      <c r="K281" s="5" t="s">
        <v>76</v>
      </c>
      <c r="L281" s="5" t="n">
        <f aca="false">IF($K281="",0,LEN($K281)-LEN(SUBSTITUTE($K281,",",""))+1)</f>
        <v>1</v>
      </c>
      <c r="M281" s="5" t="s">
        <v>35</v>
      </c>
      <c r="N281" s="5" t="str">
        <f aca="false">TRIM($A281&amp;" "&amp;IF($C281="",$R281,$C281&amp;" "&amp;$D281&amp;" "&amp;$E281&amp;" "&amp;$F281))</f>
        <v>Liquorland Warehouse #26712 100 Zoya Ln Ste 110 Pooler GA 31322</v>
      </c>
      <c r="O281" s="5" t="str">
        <f aca="false">IF($P281&lt;&gt;"","Exclude",IF(AND($M281&lt;&gt;"Full address",$R281=""),"Needs address",IF($J281&lt;0.5,"Hold - low volume",IF(LEFT($W281,3)="Low","Verify address",IF($G281="Needs review","Needs premise review",IF($X281="Estimated","Ready - address estimated","Ready"))))))</f>
        <v>Ready</v>
      </c>
      <c r="P281" s="5"/>
      <c r="Q281" s="5" t="s">
        <v>36</v>
      </c>
      <c r="R281" s="5"/>
      <c r="S281" s="5"/>
      <c r="T281" s="7"/>
      <c r="U281" s="7"/>
      <c r="V281" s="5"/>
      <c r="W281" s="5"/>
      <c r="X281" s="5" t="s">
        <v>37</v>
      </c>
      <c r="Y281" s="8" t="str">
        <f aca="false">IF($C281&lt;&gt;"",TRIM($C281&amp;", "&amp;$D281&amp;", "&amp;$E281&amp;" "&amp;$F281),IF($R281&lt;&gt;"",$R281,IF($D281&lt;&gt;"",$D281&amp;", "&amp;$E281,$I281)))</f>
        <v>100 Zoya Ln Ste 110, Pooler, GA 31322</v>
      </c>
    </row>
    <row r="282" customFormat="false" ht="15" hidden="false" customHeight="true" outlineLevel="0" collapsed="false">
      <c r="A282" s="5" t="s">
        <v>1085</v>
      </c>
      <c r="B282" s="5" t="s">
        <v>1085</v>
      </c>
      <c r="C282" s="5" t="s">
        <v>1086</v>
      </c>
      <c r="D282" s="5" t="s">
        <v>473</v>
      </c>
      <c r="E282" s="5" t="s">
        <v>29</v>
      </c>
      <c r="F282" s="5" t="s">
        <v>474</v>
      </c>
      <c r="G282" s="5" t="s">
        <v>144</v>
      </c>
      <c r="H282" s="5" t="s">
        <v>437</v>
      </c>
      <c r="I282" s="5" t="s">
        <v>33</v>
      </c>
      <c r="J282" s="6" t="n">
        <v>1</v>
      </c>
      <c r="K282" s="5" t="s">
        <v>76</v>
      </c>
      <c r="L282" s="5" t="n">
        <f aca="false">IF($K282="",0,LEN($K282)-LEN(SUBSTITUTE($K282,",",""))+1)</f>
        <v>1</v>
      </c>
      <c r="M282" s="5" t="s">
        <v>35</v>
      </c>
      <c r="N282" s="5" t="str">
        <f aca="false">TRIM($A282&amp;" "&amp;IF($C282="",$R282,$C282&amp;" "&amp;$D282&amp;" "&amp;$E282&amp;" "&amp;$F282))</f>
        <v>Neurosurgical and Spine Institute of Savannah #212 4700 US-80 Savannah GA 31410</v>
      </c>
      <c r="O282" s="5" t="str">
        <f aca="false">IF($P282&lt;&gt;"","Exclude",IF(AND($M282&lt;&gt;"Full address",$R282=""),"Needs address",IF($J282&lt;0.5,"Hold - low volume",IF(LEFT($W282,3)="Low","Verify address",IF($G282="Needs review","Needs premise review",IF($X282="Estimated","Ready - address estimated","Ready"))))))</f>
        <v>Needs premise review</v>
      </c>
      <c r="P282" s="5"/>
      <c r="Q282" s="5" t="s">
        <v>36</v>
      </c>
      <c r="R282" s="5"/>
      <c r="S282" s="5"/>
      <c r="T282" s="7"/>
      <c r="U282" s="7"/>
      <c r="V282" s="5"/>
      <c r="W282" s="5"/>
      <c r="X282" s="5" t="s">
        <v>37</v>
      </c>
      <c r="Y282" s="8" t="str">
        <f aca="false">IF($C282&lt;&gt;"",TRIM($C282&amp;", "&amp;$D282&amp;", "&amp;$E282&amp;" "&amp;$F282),IF($R282&lt;&gt;"",$R282,IF($D282&lt;&gt;"",$D282&amp;", "&amp;$E282,$I282)))</f>
        <v>4700 US-80, Savannah, GA 31410</v>
      </c>
    </row>
    <row r="283" customFormat="false" ht="15" hidden="false" customHeight="true" outlineLevel="0" collapsed="false">
      <c r="A283" s="5" t="s">
        <v>1087</v>
      </c>
      <c r="B283" s="5" t="s">
        <v>1088</v>
      </c>
      <c r="C283" s="5" t="s">
        <v>1089</v>
      </c>
      <c r="D283" s="5" t="s">
        <v>1090</v>
      </c>
      <c r="E283" s="5" t="s">
        <v>29</v>
      </c>
      <c r="F283" s="5" t="s">
        <v>1091</v>
      </c>
      <c r="G283" s="5" t="s">
        <v>31</v>
      </c>
      <c r="H283" s="5" t="s">
        <v>32</v>
      </c>
      <c r="I283" s="5" t="s">
        <v>33</v>
      </c>
      <c r="J283" s="6" t="n">
        <v>1</v>
      </c>
      <c r="K283" s="5" t="s">
        <v>76</v>
      </c>
      <c r="L283" s="5" t="n">
        <f aca="false">IF($K283="",0,LEN($K283)-LEN(SUBSTITUTE($K283,",",""))+1)</f>
        <v>1</v>
      </c>
      <c r="M283" s="5" t="s">
        <v>35</v>
      </c>
      <c r="N283" s="5" t="str">
        <f aca="false">TRIM($A283&amp;" "&amp;IF($C283="",$R283,$C283&amp;" "&amp;$D283&amp;" "&amp;$E283&amp;" "&amp;$F283))</f>
        <v>Nitro 2 Go Beverages 9135 Dr Martin Luther King Jr Ave Covington GA 30014</v>
      </c>
      <c r="O283" s="5" t="str">
        <f aca="false">IF($P283&lt;&gt;"","Exclude",IF(AND($M283&lt;&gt;"Full address",$R283=""),"Needs address",IF($J283&lt;0.5,"Hold - low volume",IF(LEFT($W283,3)="Low","Verify address",IF($G283="Needs review","Needs premise review",IF($X283="Estimated","Ready - address estimated","Ready"))))))</f>
        <v>Ready</v>
      </c>
      <c r="P283" s="5"/>
      <c r="Q283" s="5" t="s">
        <v>36</v>
      </c>
      <c r="R283" s="5"/>
      <c r="S283" s="5"/>
      <c r="T283" s="7"/>
      <c r="U283" s="7"/>
      <c r="V283" s="5"/>
      <c r="W283" s="5"/>
      <c r="X283" s="5" t="s">
        <v>37</v>
      </c>
      <c r="Y283" s="8" t="str">
        <f aca="false">IF($C283&lt;&gt;"",TRIM($C283&amp;", "&amp;$D283&amp;", "&amp;$E283&amp;" "&amp;$F283),IF($R283&lt;&gt;"",$R283,IF($D283&lt;&gt;"",$D283&amp;", "&amp;$E283,$I283)))</f>
        <v>9135 Dr Martin Luther King Jr Ave, Covington, GA 30014</v>
      </c>
    </row>
    <row r="284" customFormat="false" ht="15" hidden="false" customHeight="true" outlineLevel="0" collapsed="false">
      <c r="A284" s="5" t="s">
        <v>1092</v>
      </c>
      <c r="B284" s="5" t="s">
        <v>1093</v>
      </c>
      <c r="C284" s="5" t="s">
        <v>1094</v>
      </c>
      <c r="D284" s="5" t="s">
        <v>1095</v>
      </c>
      <c r="E284" s="5" t="s">
        <v>29</v>
      </c>
      <c r="F284" s="5" t="s">
        <v>1096</v>
      </c>
      <c r="G284" s="5" t="s">
        <v>31</v>
      </c>
      <c r="H284" s="5" t="s">
        <v>32</v>
      </c>
      <c r="I284" s="5" t="s">
        <v>33</v>
      </c>
      <c r="J284" s="6" t="n">
        <v>1</v>
      </c>
      <c r="K284" s="5" t="s">
        <v>426</v>
      </c>
      <c r="L284" s="5" t="n">
        <f aca="false">IF($K284="",0,LEN($K284)-LEN(SUBSTITUTE($K284,",",""))+1)</f>
        <v>1</v>
      </c>
      <c r="M284" s="5" t="s">
        <v>35</v>
      </c>
      <c r="N284" s="5" t="str">
        <f aca="false">TRIM($A284&amp;" "&amp;IF($C284="",$R284,$C284&amp;" "&amp;$D284&amp;" "&amp;$E284&amp;" "&amp;$F284))</f>
        <v>Oakland Package 1302 US HIGHWAY 82 W Leesburg GA 31763</v>
      </c>
      <c r="O284" s="5" t="str">
        <f aca="false">IF($P284&lt;&gt;"","Exclude",IF(AND($M284&lt;&gt;"Full address",$R284=""),"Needs address",IF($J284&lt;0.5,"Hold - low volume",IF(LEFT($W284,3)="Low","Verify address",IF($G284="Needs review","Needs premise review",IF($X284="Estimated","Ready - address estimated","Ready"))))))</f>
        <v>Ready</v>
      </c>
      <c r="P284" s="5"/>
      <c r="Q284" s="5" t="s">
        <v>36</v>
      </c>
      <c r="R284" s="5"/>
      <c r="S284" s="5"/>
      <c r="T284" s="7"/>
      <c r="U284" s="7"/>
      <c r="V284" s="5"/>
      <c r="W284" s="5"/>
      <c r="X284" s="5" t="s">
        <v>37</v>
      </c>
      <c r="Y284" s="8" t="str">
        <f aca="false">IF($C284&lt;&gt;"",TRIM($C284&amp;", "&amp;$D284&amp;", "&amp;$E284&amp;" "&amp;$F284),IF($R284&lt;&gt;"",$R284,IF($D284&lt;&gt;"",$D284&amp;", "&amp;$E284,$I284)))</f>
        <v>1302 US HIGHWAY 82 W, Leesburg, GA 31763</v>
      </c>
    </row>
    <row r="285" customFormat="false" ht="15" hidden="false" customHeight="true" outlineLevel="0" collapsed="false">
      <c r="A285" s="5" t="s">
        <v>1097</v>
      </c>
      <c r="B285" s="5" t="s">
        <v>1098</v>
      </c>
      <c r="C285" s="5" t="s">
        <v>1099</v>
      </c>
      <c r="D285" s="5" t="s">
        <v>1100</v>
      </c>
      <c r="E285" s="5" t="s">
        <v>29</v>
      </c>
      <c r="F285" s="5" t="s">
        <v>1101</v>
      </c>
      <c r="G285" s="5" t="s">
        <v>31</v>
      </c>
      <c r="H285" s="5" t="s">
        <v>32</v>
      </c>
      <c r="I285" s="5" t="s">
        <v>33</v>
      </c>
      <c r="J285" s="6" t="n">
        <v>1</v>
      </c>
      <c r="K285" s="5" t="s">
        <v>76</v>
      </c>
      <c r="L285" s="5" t="n">
        <f aca="false">IF($K285="",0,LEN($K285)-LEN(SUBSTITUTE($K285,",",""))+1)</f>
        <v>1</v>
      </c>
      <c r="M285" s="5" t="s">
        <v>35</v>
      </c>
      <c r="N285" s="5" t="str">
        <f aca="false">TRIM($A285&amp;" "&amp;IF($C285="",$R285,$C285&amp;" "&amp;$D285&amp;" "&amp;$E285&amp;" "&amp;$F285))</f>
        <v>Olde Crabapple Bottle Shoppe #35 12280A HOUZE ROAD Alpharetta GA 30201</v>
      </c>
      <c r="O285" s="5" t="str">
        <f aca="false">IF($P285&lt;&gt;"","Exclude",IF(AND($M285&lt;&gt;"Full address",$R285=""),"Needs address",IF($J285&lt;0.5,"Hold - low volume",IF(LEFT($W285,3)="Low","Verify address",IF($G285="Needs review","Needs premise review",IF($X285="Estimated","Ready - address estimated","Ready"))))))</f>
        <v>Ready</v>
      </c>
      <c r="P285" s="5"/>
      <c r="Q285" s="5" t="s">
        <v>36</v>
      </c>
      <c r="R285" s="5"/>
      <c r="S285" s="5"/>
      <c r="T285" s="7"/>
      <c r="U285" s="7"/>
      <c r="V285" s="5"/>
      <c r="W285" s="5"/>
      <c r="X285" s="5" t="s">
        <v>37</v>
      </c>
      <c r="Y285" s="8" t="str">
        <f aca="false">IF($C285&lt;&gt;"",TRIM($C285&amp;", "&amp;$D285&amp;", "&amp;$E285&amp;" "&amp;$F285),IF($R285&lt;&gt;"",$R285,IF($D285&lt;&gt;"",$D285&amp;", "&amp;$E285,$I285)))</f>
        <v>12280A HOUZE ROAD, Alpharetta, GA 30201</v>
      </c>
    </row>
    <row r="286" customFormat="false" ht="15" hidden="false" customHeight="true" outlineLevel="0" collapsed="false">
      <c r="A286" s="5" t="s">
        <v>1102</v>
      </c>
      <c r="B286" s="5" t="s">
        <v>1103</v>
      </c>
      <c r="C286" s="5" t="s">
        <v>1104</v>
      </c>
      <c r="D286" s="5" t="s">
        <v>435</v>
      </c>
      <c r="E286" s="5" t="s">
        <v>29</v>
      </c>
      <c r="F286" s="5" t="s">
        <v>436</v>
      </c>
      <c r="G286" s="5" t="s">
        <v>31</v>
      </c>
      <c r="H286" s="5" t="s">
        <v>437</v>
      </c>
      <c r="I286" s="5" t="s">
        <v>33</v>
      </c>
      <c r="J286" s="6" t="n">
        <v>1</v>
      </c>
      <c r="K286" s="5" t="s">
        <v>426</v>
      </c>
      <c r="L286" s="5" t="n">
        <f aca="false">IF($K286="",0,LEN($K286)-LEN(SUBSTITUTE($K286,",",""))+1)</f>
        <v>1</v>
      </c>
      <c r="M286" s="5" t="s">
        <v>35</v>
      </c>
      <c r="N286" s="5" t="str">
        <f aca="false">TRIM($A286&amp;" "&amp;IF($C286="",$R286,$C286&amp;" "&amp;$D286&amp;" "&amp;$E286&amp;" "&amp;$F286))</f>
        <v>Parker's Spirits #3001 8 N GODLEY STATION BLVD Pooler GA 31322</v>
      </c>
      <c r="O286" s="5" t="str">
        <f aca="false">IF($P286&lt;&gt;"","Exclude",IF(AND($M286&lt;&gt;"Full address",$R286=""),"Needs address",IF($J286&lt;0.5,"Hold - low volume",IF(LEFT($W286,3)="Low","Verify address",IF($G286="Needs review","Needs premise review",IF($X286="Estimated","Ready - address estimated","Ready"))))))</f>
        <v>Ready</v>
      </c>
      <c r="P286" s="5"/>
      <c r="Q286" s="5" t="s">
        <v>36</v>
      </c>
      <c r="R286" s="5"/>
      <c r="S286" s="5"/>
      <c r="T286" s="7"/>
      <c r="U286" s="7"/>
      <c r="V286" s="5"/>
      <c r="W286" s="5"/>
      <c r="X286" s="5" t="s">
        <v>37</v>
      </c>
      <c r="Y286" s="8" t="str">
        <f aca="false">IF($C286&lt;&gt;"",TRIM($C286&amp;", "&amp;$D286&amp;", "&amp;$E286&amp;" "&amp;$F286),IF($R286&lt;&gt;"",$R286,IF($D286&lt;&gt;"",$D286&amp;", "&amp;$E286,$I286)))</f>
        <v>8 N GODLEY STATION BLVD, Pooler, GA 31322</v>
      </c>
    </row>
    <row r="287" customFormat="false" ht="15" hidden="false" customHeight="true" outlineLevel="0" collapsed="false">
      <c r="A287" s="5" t="s">
        <v>1105</v>
      </c>
      <c r="B287" s="5" t="s">
        <v>1106</v>
      </c>
      <c r="C287" s="5" t="s">
        <v>1107</v>
      </c>
      <c r="D287" s="5" t="s">
        <v>1108</v>
      </c>
      <c r="E287" s="5" t="s">
        <v>29</v>
      </c>
      <c r="F287" s="5" t="s">
        <v>1109</v>
      </c>
      <c r="G287" s="5" t="s">
        <v>31</v>
      </c>
      <c r="H287" s="5" t="s">
        <v>32</v>
      </c>
      <c r="I287" s="5" t="s">
        <v>33</v>
      </c>
      <c r="J287" s="6" t="n">
        <v>1</v>
      </c>
      <c r="K287" s="5" t="s">
        <v>63</v>
      </c>
      <c r="L287" s="5" t="n">
        <f aca="false">IF($K287="",0,LEN($K287)-LEN(SUBSTITUTE($K287,",",""))+1)</f>
        <v>2</v>
      </c>
      <c r="M287" s="5" t="s">
        <v>35</v>
      </c>
      <c r="N287" s="5" t="str">
        <f aca="false">TRIM($A287&amp;" "&amp;IF($C287="",$R287,$C287&amp;" "&amp;$D287&amp;" "&amp;$E287&amp;" "&amp;$F287))</f>
        <v>Royal Blue Wine &amp; Spirits 321 N Broad St Winder GA 30680</v>
      </c>
      <c r="O287" s="5" t="str">
        <f aca="false">IF($P287&lt;&gt;"","Exclude",IF(AND($M287&lt;&gt;"Full address",$R287=""),"Needs address",IF($J287&lt;0.5,"Hold - low volume",IF(LEFT($W287,3)="Low","Verify address",IF($G287="Needs review","Needs premise review",IF($X287="Estimated","Ready - address estimated","Ready"))))))</f>
        <v>Ready</v>
      </c>
      <c r="P287" s="5"/>
      <c r="Q287" s="5" t="s">
        <v>36</v>
      </c>
      <c r="R287" s="5"/>
      <c r="S287" s="5"/>
      <c r="T287" s="7"/>
      <c r="U287" s="7"/>
      <c r="V287" s="5"/>
      <c r="W287" s="5"/>
      <c r="X287" s="5" t="s">
        <v>37</v>
      </c>
      <c r="Y287" s="8" t="str">
        <f aca="false">IF($C287&lt;&gt;"",TRIM($C287&amp;", "&amp;$D287&amp;", "&amp;$E287&amp;" "&amp;$F287),IF($R287&lt;&gt;"",$R287,IF($D287&lt;&gt;"",$D287&amp;", "&amp;$E287,$I287)))</f>
        <v>321 N Broad St, Winder, GA 30680</v>
      </c>
    </row>
    <row r="288" customFormat="false" ht="15" hidden="false" customHeight="true" outlineLevel="0" collapsed="false">
      <c r="A288" s="5" t="s">
        <v>1110</v>
      </c>
      <c r="B288" s="5" t="s">
        <v>1111</v>
      </c>
      <c r="C288" s="5" t="s">
        <v>1112</v>
      </c>
      <c r="D288" s="5" t="s">
        <v>473</v>
      </c>
      <c r="E288" s="5" t="s">
        <v>29</v>
      </c>
      <c r="F288" s="5" t="s">
        <v>1113</v>
      </c>
      <c r="G288" s="5" t="s">
        <v>31</v>
      </c>
      <c r="H288" s="5" t="s">
        <v>437</v>
      </c>
      <c r="I288" s="5" t="s">
        <v>33</v>
      </c>
      <c r="J288" s="6" t="n">
        <v>1</v>
      </c>
      <c r="K288" s="5" t="s">
        <v>426</v>
      </c>
      <c r="L288" s="5" t="n">
        <f aca="false">IF($K288="",0,LEN($K288)-LEN(SUBSTITUTE($K288,",",""))+1)</f>
        <v>1</v>
      </c>
      <c r="M288" s="5" t="s">
        <v>35</v>
      </c>
      <c r="N288" s="5" t="str">
        <f aca="false">TRIM($A288&amp;" "&amp;IF($C288="",$R288,$C288&amp;" "&amp;$D288&amp;" "&amp;$E288&amp;" "&amp;$F288))</f>
        <v>Sam's Package 5630 OGEECHEE ROAD, STE 1 Savannah GA 31405</v>
      </c>
      <c r="O288" s="5" t="str">
        <f aca="false">IF($P288&lt;&gt;"","Exclude",IF(AND($M288&lt;&gt;"Full address",$R288=""),"Needs address",IF($J288&lt;0.5,"Hold - low volume",IF(LEFT($W288,3)="Low","Verify address",IF($G288="Needs review","Needs premise review",IF($X288="Estimated","Ready - address estimated","Ready"))))))</f>
        <v>Ready</v>
      </c>
      <c r="P288" s="5"/>
      <c r="Q288" s="5" t="s">
        <v>36</v>
      </c>
      <c r="R288" s="5"/>
      <c r="S288" s="5"/>
      <c r="T288" s="7"/>
      <c r="U288" s="7"/>
      <c r="V288" s="5"/>
      <c r="W288" s="5"/>
      <c r="X288" s="5" t="s">
        <v>37</v>
      </c>
      <c r="Y288" s="8" t="str">
        <f aca="false">IF($C288&lt;&gt;"",TRIM($C288&amp;", "&amp;$D288&amp;", "&amp;$E288&amp;" "&amp;$F288),IF($R288&lt;&gt;"",$R288,IF($D288&lt;&gt;"",$D288&amp;", "&amp;$E288,$I288)))</f>
        <v>5630 OGEECHEE ROAD, STE 1, Savannah, GA 31405</v>
      </c>
    </row>
    <row r="289" customFormat="false" ht="15" hidden="false" customHeight="true" outlineLevel="0" collapsed="false">
      <c r="A289" s="5" t="s">
        <v>1114</v>
      </c>
      <c r="B289" s="5" t="s">
        <v>1115</v>
      </c>
      <c r="C289" s="5" t="s">
        <v>1116</v>
      </c>
      <c r="D289" s="5" t="s">
        <v>709</v>
      </c>
      <c r="E289" s="5" t="s">
        <v>29</v>
      </c>
      <c r="F289" s="5" t="s">
        <v>719</v>
      </c>
      <c r="G289" s="5" t="s">
        <v>31</v>
      </c>
      <c r="H289" s="5" t="s">
        <v>32</v>
      </c>
      <c r="I289" s="5" t="s">
        <v>33</v>
      </c>
      <c r="J289" s="6" t="n">
        <v>1</v>
      </c>
      <c r="K289" s="5" t="s">
        <v>426</v>
      </c>
      <c r="L289" s="5" t="n">
        <f aca="false">IF($K289="",0,LEN($K289)-LEN(SUBSTITUTE($K289,",",""))+1)</f>
        <v>1</v>
      </c>
      <c r="M289" s="5" t="s">
        <v>35</v>
      </c>
      <c r="N289" s="5" t="str">
        <f aca="false">TRIM($A289&amp;" "&amp;IF($C289="",$R289,$C289&amp;" "&amp;$D289&amp;" "&amp;$E289&amp;" "&amp;$F289))</f>
        <v>Smyrna World Of Beverages 4474 S COBB DRIVE SE Smyrna GA 30080</v>
      </c>
      <c r="O289" s="5" t="str">
        <f aca="false">IF($P289&lt;&gt;"","Exclude",IF(AND($M289&lt;&gt;"Full address",$R289=""),"Needs address",IF($J289&lt;0.5,"Hold - low volume",IF(LEFT($W289,3)="Low","Verify address",IF($G289="Needs review","Needs premise review",IF($X289="Estimated","Ready - address estimated","Ready"))))))</f>
        <v>Ready</v>
      </c>
      <c r="P289" s="5"/>
      <c r="Q289" s="5" t="s">
        <v>36</v>
      </c>
      <c r="R289" s="5"/>
      <c r="S289" s="5"/>
      <c r="T289" s="7"/>
      <c r="U289" s="7"/>
      <c r="V289" s="5"/>
      <c r="W289" s="5"/>
      <c r="X289" s="5" t="s">
        <v>37</v>
      </c>
      <c r="Y289" s="8" t="str">
        <f aca="false">IF($C289&lt;&gt;"",TRIM($C289&amp;", "&amp;$D289&amp;", "&amp;$E289&amp;" "&amp;$F289),IF($R289&lt;&gt;"",$R289,IF($D289&lt;&gt;"",$D289&amp;", "&amp;$E289,$I289)))</f>
        <v>4474 S COBB DRIVE SE, Smyrna, GA 30080</v>
      </c>
    </row>
    <row r="290" customFormat="false" ht="15" hidden="false" customHeight="true" outlineLevel="0" collapsed="false">
      <c r="A290" s="5" t="s">
        <v>1117</v>
      </c>
      <c r="B290" s="5" t="s">
        <v>1118</v>
      </c>
      <c r="C290" s="5" t="s">
        <v>1119</v>
      </c>
      <c r="D290" s="5" t="s">
        <v>723</v>
      </c>
      <c r="E290" s="5" t="s">
        <v>29</v>
      </c>
      <c r="F290" s="5" t="s">
        <v>724</v>
      </c>
      <c r="G290" s="5" t="s">
        <v>31</v>
      </c>
      <c r="H290" s="5" t="s">
        <v>32</v>
      </c>
      <c r="I290" s="5" t="s">
        <v>33</v>
      </c>
      <c r="J290" s="6" t="n">
        <v>1</v>
      </c>
      <c r="K290" s="5" t="s">
        <v>63</v>
      </c>
      <c r="L290" s="5" t="n">
        <f aca="false">IF($K290="",0,LEN($K290)-LEN(SUBSTITUTE($K290,",",""))+1)</f>
        <v>2</v>
      </c>
      <c r="M290" s="5" t="s">
        <v>35</v>
      </c>
      <c r="N290" s="5" t="str">
        <f aca="false">TRIM($A290&amp;" "&amp;IF($C290="",$R290,$C290&amp;" "&amp;$D290&amp;" "&amp;$E290&amp;" "&amp;$F290))</f>
        <v>Strong Water Liquor Warehouse 5722 Lawrenceville Hwy Lilburn GA 30047</v>
      </c>
      <c r="O290" s="5" t="str">
        <f aca="false">IF($P290&lt;&gt;"","Exclude",IF(AND($M290&lt;&gt;"Full address",$R290=""),"Needs address",IF($J290&lt;0.5,"Hold - low volume",IF(LEFT($W290,3)="Low","Verify address",IF($G290="Needs review","Needs premise review",IF($X290="Estimated","Ready - address estimated","Ready"))))))</f>
        <v>Ready</v>
      </c>
      <c r="P290" s="5"/>
      <c r="Q290" s="5" t="s">
        <v>36</v>
      </c>
      <c r="R290" s="5"/>
      <c r="S290" s="5"/>
      <c r="T290" s="7"/>
      <c r="U290" s="7"/>
      <c r="V290" s="5"/>
      <c r="W290" s="5"/>
      <c r="X290" s="5" t="s">
        <v>37</v>
      </c>
      <c r="Y290" s="8" t="str">
        <f aca="false">IF($C290&lt;&gt;"",TRIM($C290&amp;", "&amp;$D290&amp;", "&amp;$E290&amp;" "&amp;$F290),IF($R290&lt;&gt;"",$R290,IF($D290&lt;&gt;"",$D290&amp;", "&amp;$E290,$I290)))</f>
        <v>5722 Lawrenceville Hwy, Lilburn, GA 30047</v>
      </c>
    </row>
    <row r="291" customFormat="false" ht="15" hidden="false" customHeight="true" outlineLevel="0" collapsed="false">
      <c r="A291" s="5" t="s">
        <v>1120</v>
      </c>
      <c r="B291" s="5" t="s">
        <v>1121</v>
      </c>
      <c r="C291" s="5" t="s">
        <v>1122</v>
      </c>
      <c r="D291" s="5" t="s">
        <v>110</v>
      </c>
      <c r="E291" s="5" t="s">
        <v>29</v>
      </c>
      <c r="F291" s="5" t="s">
        <v>111</v>
      </c>
      <c r="G291" s="5" t="s">
        <v>31</v>
      </c>
      <c r="H291" s="5" t="s">
        <v>32</v>
      </c>
      <c r="I291" s="5" t="s">
        <v>33</v>
      </c>
      <c r="J291" s="6" t="n">
        <v>1</v>
      </c>
      <c r="K291" s="5" t="s">
        <v>469</v>
      </c>
      <c r="L291" s="5" t="n">
        <f aca="false">IF($K291="",0,LEN($K291)-LEN(SUBSTITUTE($K291,",",""))+1)</f>
        <v>1</v>
      </c>
      <c r="M291" s="5" t="s">
        <v>35</v>
      </c>
      <c r="N291" s="5" t="str">
        <f aca="false">TRIM($A291&amp;" "&amp;IF($C291="",$R291,$C291&amp;" "&amp;$D291&amp;" "&amp;$E291&amp;" "&amp;$F291))</f>
        <v>Sunny's Liquor Emporium 110 YORKTOWN DRIVE Fayetteville GA 30214</v>
      </c>
      <c r="O291" s="5" t="str">
        <f aca="false">IF($P291&lt;&gt;"","Exclude",IF(AND($M291&lt;&gt;"Full address",$R291=""),"Needs address",IF($J291&lt;0.5,"Hold - low volume",IF(LEFT($W291,3)="Low","Verify address",IF($G291="Needs review","Needs premise review",IF($X291="Estimated","Ready - address estimated","Ready"))))))</f>
        <v>Ready</v>
      </c>
      <c r="P291" s="5"/>
      <c r="Q291" s="5" t="s">
        <v>36</v>
      </c>
      <c r="R291" s="5"/>
      <c r="S291" s="5"/>
      <c r="T291" s="7"/>
      <c r="U291" s="7"/>
      <c r="V291" s="5"/>
      <c r="W291" s="5"/>
      <c r="X291" s="5" t="s">
        <v>37</v>
      </c>
      <c r="Y291" s="8" t="str">
        <f aca="false">IF($C291&lt;&gt;"",TRIM($C291&amp;", "&amp;$D291&amp;", "&amp;$E291&amp;" "&amp;$F291),IF($R291&lt;&gt;"",$R291,IF($D291&lt;&gt;"",$D291&amp;", "&amp;$E291,$I291)))</f>
        <v>110 YORKTOWN DRIVE, Fayetteville, GA 30214</v>
      </c>
    </row>
    <row r="292" customFormat="false" ht="15" hidden="false" customHeight="true" outlineLevel="0" collapsed="false">
      <c r="A292" s="5" t="s">
        <v>1123</v>
      </c>
      <c r="B292" s="5" t="s">
        <v>1124</v>
      </c>
      <c r="C292" s="5" t="s">
        <v>1125</v>
      </c>
      <c r="D292" s="5" t="s">
        <v>1126</v>
      </c>
      <c r="E292" s="5" t="s">
        <v>29</v>
      </c>
      <c r="F292" s="5" t="s">
        <v>1127</v>
      </c>
      <c r="G292" s="5" t="s">
        <v>377</v>
      </c>
      <c r="H292" s="5" t="s">
        <v>32</v>
      </c>
      <c r="I292" s="5" t="s">
        <v>33</v>
      </c>
      <c r="J292" s="6" t="n">
        <v>1</v>
      </c>
      <c r="K292" s="5" t="s">
        <v>76</v>
      </c>
      <c r="L292" s="5" t="n">
        <f aca="false">IF($K292="",0,LEN($K292)-LEN(SUBSTITUTE($K292,",",""))+1)</f>
        <v>1</v>
      </c>
      <c r="M292" s="5" t="s">
        <v>35</v>
      </c>
      <c r="N292" s="5" t="str">
        <f aca="false">TRIM($A292&amp;" "&amp;IF($C292="",$R292,$C292&amp;" "&amp;$D292&amp;" "&amp;$E292&amp;" "&amp;$F292))</f>
        <v>Taco Man 325 N Main St Cedartown GA 30125</v>
      </c>
      <c r="O292" s="5" t="str">
        <f aca="false">IF($P292&lt;&gt;"","Exclude",IF(AND($M292&lt;&gt;"Full address",$R292=""),"Needs address",IF($J292&lt;0.5,"Hold - low volume",IF(LEFT($W292,3)="Low","Verify address",IF($G292="Needs review","Needs premise review",IF($X292="Estimated","Ready - address estimated","Ready"))))))</f>
        <v>Ready</v>
      </c>
      <c r="P292" s="5"/>
      <c r="Q292" s="5" t="s">
        <v>36</v>
      </c>
      <c r="R292" s="5"/>
      <c r="S292" s="5"/>
      <c r="T292" s="7"/>
      <c r="U292" s="7"/>
      <c r="V292" s="5"/>
      <c r="W292" s="5"/>
      <c r="X292" s="5" t="s">
        <v>37</v>
      </c>
      <c r="Y292" s="8" t="str">
        <f aca="false">IF($C292&lt;&gt;"",TRIM($C292&amp;", "&amp;$D292&amp;", "&amp;$E292&amp;" "&amp;$F292),IF($R292&lt;&gt;"",$R292,IF($D292&lt;&gt;"",$D292&amp;", "&amp;$E292,$I292)))</f>
        <v>325 N Main St, Cedartown, GA 30125</v>
      </c>
    </row>
    <row r="293" customFormat="false" ht="15" hidden="false" customHeight="true" outlineLevel="0" collapsed="false">
      <c r="A293" s="5" t="s">
        <v>1128</v>
      </c>
      <c r="B293" s="5" t="s">
        <v>1129</v>
      </c>
      <c r="C293" s="5" t="s">
        <v>1130</v>
      </c>
      <c r="D293" s="5" t="s">
        <v>142</v>
      </c>
      <c r="E293" s="5" t="s">
        <v>29</v>
      </c>
      <c r="F293" s="5" t="s">
        <v>246</v>
      </c>
      <c r="G293" s="5" t="s">
        <v>31</v>
      </c>
      <c r="H293" s="5" t="s">
        <v>32</v>
      </c>
      <c r="I293" s="5" t="s">
        <v>33</v>
      </c>
      <c r="J293" s="6" t="n">
        <v>1</v>
      </c>
      <c r="K293" s="5" t="s">
        <v>63</v>
      </c>
      <c r="L293" s="5" t="n">
        <f aca="false">IF($K293="",0,LEN($K293)-LEN(SUBSTITUTE($K293,",",""))+1)</f>
        <v>2</v>
      </c>
      <c r="M293" s="5" t="s">
        <v>35</v>
      </c>
      <c r="N293" s="5" t="str">
        <f aca="false">TRIM($A293&amp;" "&amp;IF($C293="",$R293,$C293&amp;" "&amp;$D293&amp;" "&amp;$E293&amp;" "&amp;$F293))</f>
        <v>Tipsy Liquor and Wine 5211 MOON RD UNIT A Columbus GA 31909</v>
      </c>
      <c r="O293" s="5" t="str">
        <f aca="false">IF($P293&lt;&gt;"","Exclude",IF(AND($M293&lt;&gt;"Full address",$R293=""),"Needs address",IF($J293&lt;0.5,"Hold - low volume",IF(LEFT($W293,3)="Low","Verify address",IF($G293="Needs review","Needs premise review",IF($X293="Estimated","Ready - address estimated","Ready"))))))</f>
        <v>Ready</v>
      </c>
      <c r="P293" s="5"/>
      <c r="Q293" s="5" t="s">
        <v>36</v>
      </c>
      <c r="R293" s="5"/>
      <c r="S293" s="5"/>
      <c r="T293" s="7"/>
      <c r="U293" s="7"/>
      <c r="V293" s="5"/>
      <c r="W293" s="5"/>
      <c r="X293" s="5" t="s">
        <v>37</v>
      </c>
      <c r="Y293" s="8" t="str">
        <f aca="false">IF($C293&lt;&gt;"",TRIM($C293&amp;", "&amp;$D293&amp;", "&amp;$E293&amp;" "&amp;$F293),IF($R293&lt;&gt;"",$R293,IF($D293&lt;&gt;"",$D293&amp;", "&amp;$E293,$I293)))</f>
        <v>5211 MOON RD UNIT A, Columbus, GA 31909</v>
      </c>
    </row>
    <row r="294" customFormat="false" ht="15" hidden="false" customHeight="true" outlineLevel="0" collapsed="false">
      <c r="A294" s="5" t="s">
        <v>1131</v>
      </c>
      <c r="B294" s="5" t="s">
        <v>1132</v>
      </c>
      <c r="C294" s="5" t="s">
        <v>1133</v>
      </c>
      <c r="D294" s="5" t="s">
        <v>120</v>
      </c>
      <c r="E294" s="5" t="s">
        <v>29</v>
      </c>
      <c r="F294" s="5" t="s">
        <v>1134</v>
      </c>
      <c r="G294" s="5" t="s">
        <v>31</v>
      </c>
      <c r="H294" s="5" t="s">
        <v>32</v>
      </c>
      <c r="I294" s="5" t="s">
        <v>33</v>
      </c>
      <c r="J294" s="6" t="n">
        <v>1</v>
      </c>
      <c r="K294" s="5" t="s">
        <v>469</v>
      </c>
      <c r="L294" s="5" t="n">
        <f aca="false">IF($K294="",0,LEN($K294)-LEN(SUBSTITUTE($K294,",",""))+1)</f>
        <v>1</v>
      </c>
      <c r="M294" s="5" t="s">
        <v>35</v>
      </c>
      <c r="N294" s="5" t="str">
        <f aca="false">TRIM($A294&amp;" "&amp;IF($C294="",$R294,$C294&amp;" "&amp;$D294&amp;" "&amp;$E294&amp;" "&amp;$F294))</f>
        <v>Tuxedo Wine &amp; Spirits 3906 Roswell Road NE Ste 128-A Atlanta GA 30342</v>
      </c>
      <c r="O294" s="5" t="str">
        <f aca="false">IF($P294&lt;&gt;"","Exclude",IF(AND($M294&lt;&gt;"Full address",$R294=""),"Needs address",IF($J294&lt;0.5,"Hold - low volume",IF(LEFT($W294,3)="Low","Verify address",IF($G294="Needs review","Needs premise review",IF($X294="Estimated","Ready - address estimated","Ready"))))))</f>
        <v>Ready</v>
      </c>
      <c r="P294" s="5"/>
      <c r="Q294" s="5" t="s">
        <v>36</v>
      </c>
      <c r="R294" s="5"/>
      <c r="S294" s="5"/>
      <c r="T294" s="7"/>
      <c r="U294" s="7"/>
      <c r="V294" s="5"/>
      <c r="W294" s="5"/>
      <c r="X294" s="5" t="s">
        <v>37</v>
      </c>
      <c r="Y294" s="8" t="str">
        <f aca="false">IF($C294&lt;&gt;"",TRIM($C294&amp;", "&amp;$D294&amp;", "&amp;$E294&amp;" "&amp;$F294),IF($R294&lt;&gt;"",$R294,IF($D294&lt;&gt;"",$D294&amp;", "&amp;$E294,$I294)))</f>
        <v>3906 Roswell Road NE Ste 128-A, Atlanta, GA 30342</v>
      </c>
    </row>
    <row r="295" customFormat="false" ht="15" hidden="false" customHeight="true" outlineLevel="0" collapsed="false">
      <c r="A295" s="5" t="s">
        <v>1135</v>
      </c>
      <c r="B295" s="5" t="s">
        <v>1136</v>
      </c>
      <c r="C295" s="5" t="s">
        <v>1137</v>
      </c>
      <c r="D295" s="5" t="s">
        <v>1138</v>
      </c>
      <c r="E295" s="5" t="s">
        <v>29</v>
      </c>
      <c r="F295" s="5" t="s">
        <v>1139</v>
      </c>
      <c r="G295" s="5" t="s">
        <v>31</v>
      </c>
      <c r="H295" s="5" t="s">
        <v>32</v>
      </c>
      <c r="I295" s="5" t="s">
        <v>33</v>
      </c>
      <c r="J295" s="6" t="n">
        <v>1</v>
      </c>
      <c r="K295" s="5" t="s">
        <v>76</v>
      </c>
      <c r="L295" s="5" t="n">
        <f aca="false">IF($K295="",0,LEN($K295)-LEN(SUBSTITUTE($K295,",",""))+1)</f>
        <v>1</v>
      </c>
      <c r="M295" s="5" t="s">
        <v>35</v>
      </c>
      <c r="N295" s="5" t="str">
        <f aca="false">TRIM($A295&amp;" "&amp;IF($C295="",$R295,$C295&amp;" "&amp;$D295&amp;" "&amp;$E295&amp;" "&amp;$F295))</f>
        <v>bp 3834 HIGHWAY 365 Alto GA 30510</v>
      </c>
      <c r="O295" s="5" t="str">
        <f aca="false">IF($P295&lt;&gt;"","Exclude",IF(AND($M295&lt;&gt;"Full address",$R295=""),"Needs address",IF($J295&lt;0.5,"Hold - low volume",IF(LEFT($W295,3)="Low","Verify address",IF($G295="Needs review","Needs premise review",IF($X295="Estimated","Ready - address estimated","Ready"))))))</f>
        <v>Ready</v>
      </c>
      <c r="P295" s="5"/>
      <c r="Q295" s="5" t="s">
        <v>36</v>
      </c>
      <c r="R295" s="5"/>
      <c r="S295" s="5"/>
      <c r="T295" s="7"/>
      <c r="U295" s="7"/>
      <c r="V295" s="5"/>
      <c r="W295" s="5"/>
      <c r="X295" s="5" t="s">
        <v>37</v>
      </c>
      <c r="Y295" s="8" t="str">
        <f aca="false">IF($C295&lt;&gt;"",TRIM($C295&amp;", "&amp;$D295&amp;", "&amp;$E295&amp;" "&amp;$F295),IF($R295&lt;&gt;"",$R295,IF($D295&lt;&gt;"",$D295&amp;", "&amp;$E295,$I295)))</f>
        <v>3834 HIGHWAY 365, Alto, GA 30510</v>
      </c>
    </row>
    <row r="296" customFormat="false" ht="15" hidden="false" customHeight="true" outlineLevel="0" collapsed="false">
      <c r="A296" s="5" t="s">
        <v>1140</v>
      </c>
      <c r="B296" s="5" t="s">
        <v>1141</v>
      </c>
      <c r="C296" s="5" t="s">
        <v>1142</v>
      </c>
      <c r="D296" s="5" t="s">
        <v>1143</v>
      </c>
      <c r="E296" s="5" t="s">
        <v>484</v>
      </c>
      <c r="F296" s="5" t="s">
        <v>1144</v>
      </c>
      <c r="G296" s="5" t="s">
        <v>31</v>
      </c>
      <c r="H296" s="5" t="s">
        <v>486</v>
      </c>
      <c r="I296" s="5" t="s">
        <v>487</v>
      </c>
      <c r="J296" s="6" t="n">
        <v>1</v>
      </c>
      <c r="K296" s="5" t="s">
        <v>426</v>
      </c>
      <c r="L296" s="5" t="n">
        <f aca="false">IF($K296="",0,LEN($K296)-LEN(SUBSTITUTE($K296,",",""))+1)</f>
        <v>1</v>
      </c>
      <c r="M296" s="5" t="s">
        <v>35</v>
      </c>
      <c r="N296" s="5" t="str">
        <f aca="false">TRIM($A296&amp;" "&amp;IF($C296="",$R296,$C296&amp;" "&amp;$D296&amp;" "&amp;$E296&amp;" "&amp;$F296))</f>
        <v>Bohannon's Liquor and Cigars 15518 PINEHURST DRIVE Basehor KS 66012</v>
      </c>
      <c r="O296" s="5" t="str">
        <f aca="false">IF($P296&lt;&gt;"","Exclude",IF(AND($M296&lt;&gt;"Full address",$R296=""),"Needs address",IF($J296&lt;0.5,"Hold - low volume",IF(LEFT($W296,3)="Low","Verify address",IF($G296="Needs review","Needs premise review",IF($X296="Estimated","Ready - address estimated","Ready"))))))</f>
        <v>Ready</v>
      </c>
      <c r="P296" s="5"/>
      <c r="Q296" s="5" t="s">
        <v>488</v>
      </c>
      <c r="R296" s="5"/>
      <c r="S296" s="5"/>
      <c r="T296" s="7"/>
      <c r="U296" s="7"/>
      <c r="V296" s="5"/>
      <c r="W296" s="5"/>
      <c r="X296" s="5" t="s">
        <v>37</v>
      </c>
      <c r="Y296" s="8" t="str">
        <f aca="false">IF($C296&lt;&gt;"",TRIM($C296&amp;", "&amp;$D296&amp;", "&amp;$E296&amp;" "&amp;$F296),IF($R296&lt;&gt;"",$R296,IF($D296&lt;&gt;"",$D296&amp;", "&amp;$E296,$I296)))</f>
        <v>15518 PINEHURST DRIVE, Basehor, KS 66012</v>
      </c>
    </row>
    <row r="297" customFormat="false" ht="15" hidden="false" customHeight="true" outlineLevel="0" collapsed="false">
      <c r="A297" s="5" t="s">
        <v>1145</v>
      </c>
      <c r="B297" s="5" t="s">
        <v>1146</v>
      </c>
      <c r="C297" s="5" t="s">
        <v>1147</v>
      </c>
      <c r="D297" s="5" t="s">
        <v>483</v>
      </c>
      <c r="E297" s="5" t="s">
        <v>484</v>
      </c>
      <c r="F297" s="5" t="s">
        <v>1148</v>
      </c>
      <c r="G297" s="5" t="s">
        <v>31</v>
      </c>
      <c r="H297" s="5" t="s">
        <v>486</v>
      </c>
      <c r="I297" s="5" t="s">
        <v>487</v>
      </c>
      <c r="J297" s="6" t="n">
        <v>1</v>
      </c>
      <c r="K297" s="5" t="s">
        <v>426</v>
      </c>
      <c r="L297" s="5" t="n">
        <f aca="false">IF($K297="",0,LEN($K297)-LEN(SUBSTITUTE($K297,",",""))+1)</f>
        <v>1</v>
      </c>
      <c r="M297" s="5" t="s">
        <v>35</v>
      </c>
      <c r="N297" s="5" t="str">
        <f aca="false">TRIM($A297&amp;" "&amp;IF($C297="",$R297,$C297&amp;" "&amp;$D297&amp;" "&amp;$E297&amp;" "&amp;$F297))</f>
        <v>Brenneman Retail Liquor 2710 S Seneca St Wichita KS 67217</v>
      </c>
      <c r="O297" s="5" t="str">
        <f aca="false">IF($P297&lt;&gt;"","Exclude",IF(AND($M297&lt;&gt;"Full address",$R297=""),"Needs address",IF($J297&lt;0.5,"Hold - low volume",IF(LEFT($W297,3)="Low","Verify address",IF($G297="Needs review","Needs premise review",IF($X297="Estimated","Ready - address estimated","Ready"))))))</f>
        <v>Ready</v>
      </c>
      <c r="P297" s="5"/>
      <c r="Q297" s="5" t="s">
        <v>488</v>
      </c>
      <c r="R297" s="5"/>
      <c r="S297" s="5"/>
      <c r="T297" s="7"/>
      <c r="U297" s="7"/>
      <c r="V297" s="5"/>
      <c r="W297" s="5"/>
      <c r="X297" s="5" t="s">
        <v>37</v>
      </c>
      <c r="Y297" s="8" t="str">
        <f aca="false">IF($C297&lt;&gt;"",TRIM($C297&amp;", "&amp;$D297&amp;", "&amp;$E297&amp;" "&amp;$F297),IF($R297&lt;&gt;"",$R297,IF($D297&lt;&gt;"",$D297&amp;", "&amp;$E297,$I297)))</f>
        <v>2710 S Seneca St, Wichita, KS 67217</v>
      </c>
    </row>
    <row r="298" customFormat="false" ht="15" hidden="false" customHeight="true" outlineLevel="0" collapsed="false">
      <c r="A298" s="5" t="s">
        <v>1149</v>
      </c>
      <c r="B298" s="5" t="s">
        <v>1149</v>
      </c>
      <c r="C298" s="5" t="s">
        <v>1150</v>
      </c>
      <c r="D298" s="5" t="s">
        <v>1151</v>
      </c>
      <c r="E298" s="5" t="s">
        <v>484</v>
      </c>
      <c r="F298" s="5" t="s">
        <v>1152</v>
      </c>
      <c r="G298" s="5" t="s">
        <v>31</v>
      </c>
      <c r="H298" s="5" t="s">
        <v>486</v>
      </c>
      <c r="I298" s="5" t="s">
        <v>487</v>
      </c>
      <c r="J298" s="6" t="n">
        <v>1</v>
      </c>
      <c r="K298" s="5" t="s">
        <v>63</v>
      </c>
      <c r="L298" s="5" t="n">
        <f aca="false">IF($K298="",0,LEN($K298)-LEN(SUBSTITUTE($K298,",",""))+1)</f>
        <v>2</v>
      </c>
      <c r="M298" s="5" t="s">
        <v>35</v>
      </c>
      <c r="N298" s="5" t="str">
        <f aca="false">TRIM($A298&amp;" "&amp;IF($C298="",$R298,$C298&amp;" "&amp;$D298&amp;" "&amp;$E298&amp;" "&amp;$F298))</f>
        <v>Liquor Xpress 2 Edwardsville 9701 Kaw Drive Edwardsville KS 66111</v>
      </c>
      <c r="O298" s="5" t="str">
        <f aca="false">IF($P298&lt;&gt;"","Exclude",IF(AND($M298&lt;&gt;"Full address",$R298=""),"Needs address",IF($J298&lt;0.5,"Hold - low volume",IF(LEFT($W298,3)="Low","Verify address",IF($G298="Needs review","Needs premise review",IF($X298="Estimated","Ready - address estimated","Ready"))))))</f>
        <v>Ready</v>
      </c>
      <c r="P298" s="5"/>
      <c r="Q298" s="5" t="s">
        <v>488</v>
      </c>
      <c r="R298" s="5"/>
      <c r="S298" s="5"/>
      <c r="T298" s="7"/>
      <c r="U298" s="7"/>
      <c r="V298" s="5"/>
      <c r="W298" s="5"/>
      <c r="X298" s="5" t="s">
        <v>37</v>
      </c>
      <c r="Y298" s="8" t="str">
        <f aca="false">IF($C298&lt;&gt;"",TRIM($C298&amp;", "&amp;$D298&amp;", "&amp;$E298&amp;" "&amp;$F298),IF($R298&lt;&gt;"",$R298,IF($D298&lt;&gt;"",$D298&amp;", "&amp;$E298,$I298)))</f>
        <v>9701 Kaw Drive, Edwardsville, KS 66111</v>
      </c>
    </row>
    <row r="299" customFormat="false" ht="15" hidden="false" customHeight="true" outlineLevel="0" collapsed="false">
      <c r="A299" s="5" t="s">
        <v>1153</v>
      </c>
      <c r="B299" s="5" t="s">
        <v>1154</v>
      </c>
      <c r="C299" s="5" t="s">
        <v>1155</v>
      </c>
      <c r="D299" s="5" t="s">
        <v>1156</v>
      </c>
      <c r="E299" s="5" t="s">
        <v>484</v>
      </c>
      <c r="F299" s="5" t="s">
        <v>1157</v>
      </c>
      <c r="G299" s="5" t="s">
        <v>31</v>
      </c>
      <c r="H299" s="5" t="s">
        <v>486</v>
      </c>
      <c r="I299" s="5" t="s">
        <v>487</v>
      </c>
      <c r="J299" s="6" t="n">
        <v>1</v>
      </c>
      <c r="K299" s="5" t="s">
        <v>426</v>
      </c>
      <c r="L299" s="5" t="n">
        <f aca="false">IF($K299="",0,LEN($K299)-LEN(SUBSTITUTE($K299,",",""))+1)</f>
        <v>1</v>
      </c>
      <c r="M299" s="5" t="s">
        <v>35</v>
      </c>
      <c r="N299" s="5" t="str">
        <f aca="false">TRIM($A299&amp;" "&amp;IF($C299="",$R299,$C299&amp;" "&amp;$D299&amp;" "&amp;$E299&amp;" "&amp;$F299))</f>
        <v>Mike's Discount Liquor 1320 Merriam Ln Kansas City KS 66103</v>
      </c>
      <c r="O299" s="5" t="str">
        <f aca="false">IF($P299&lt;&gt;"","Exclude",IF(AND($M299&lt;&gt;"Full address",$R299=""),"Needs address",IF($J299&lt;0.5,"Hold - low volume",IF(LEFT($W299,3)="Low","Verify address",IF($G299="Needs review","Needs premise review",IF($X299="Estimated","Ready - address estimated","Ready"))))))</f>
        <v>Ready</v>
      </c>
      <c r="P299" s="5"/>
      <c r="Q299" s="5" t="s">
        <v>488</v>
      </c>
      <c r="R299" s="5"/>
      <c r="S299" s="5"/>
      <c r="T299" s="7"/>
      <c r="U299" s="7"/>
      <c r="V299" s="5"/>
      <c r="W299" s="5"/>
      <c r="X299" s="5" t="s">
        <v>37</v>
      </c>
      <c r="Y299" s="8" t="str">
        <f aca="false">IF($C299&lt;&gt;"",TRIM($C299&amp;", "&amp;$D299&amp;", "&amp;$E299&amp;" "&amp;$F299),IF($R299&lt;&gt;"",$R299,IF($D299&lt;&gt;"",$D299&amp;", "&amp;$E299,$I299)))</f>
        <v>1320 Merriam Ln, Kansas City, KS 66103</v>
      </c>
    </row>
    <row r="300" customFormat="false" ht="15" hidden="false" customHeight="true" outlineLevel="0" collapsed="false">
      <c r="A300" s="5" t="s">
        <v>1158</v>
      </c>
      <c r="B300" s="5" t="s">
        <v>1159</v>
      </c>
      <c r="C300" s="5" t="s">
        <v>1160</v>
      </c>
      <c r="D300" s="5" t="s">
        <v>1161</v>
      </c>
      <c r="E300" s="5" t="s">
        <v>484</v>
      </c>
      <c r="F300" s="5" t="s">
        <v>1162</v>
      </c>
      <c r="G300" s="5" t="s">
        <v>31</v>
      </c>
      <c r="H300" s="5" t="s">
        <v>486</v>
      </c>
      <c r="I300" s="5" t="s">
        <v>487</v>
      </c>
      <c r="J300" s="6" t="n">
        <v>1</v>
      </c>
      <c r="K300" s="5" t="s">
        <v>1163</v>
      </c>
      <c r="L300" s="5" t="n">
        <f aca="false">IF($K300="",0,LEN($K300)-LEN(SUBSTITUTE($K300,",",""))+1)</f>
        <v>1</v>
      </c>
      <c r="M300" s="5" t="s">
        <v>35</v>
      </c>
      <c r="N300" s="5" t="str">
        <f aca="false">TRIM($A300&amp;" "&amp;IF($C300="",$R300,$C300&amp;" "&amp;$D300&amp;" "&amp;$E300&amp;" "&amp;$F300))</f>
        <v>Premier Liquor 301 JONES AVE Holcomb KS 67851</v>
      </c>
      <c r="O300" s="5" t="str">
        <f aca="false">IF($P300&lt;&gt;"","Exclude",IF(AND($M300&lt;&gt;"Full address",$R300=""),"Needs address",IF($J300&lt;0.5,"Hold - low volume",IF(LEFT($W300,3)="Low","Verify address",IF($G300="Needs review","Needs premise review",IF($X300="Estimated","Ready - address estimated","Ready"))))))</f>
        <v>Ready</v>
      </c>
      <c r="P300" s="5"/>
      <c r="Q300" s="5" t="s">
        <v>488</v>
      </c>
      <c r="R300" s="5"/>
      <c r="S300" s="5"/>
      <c r="T300" s="7"/>
      <c r="U300" s="7"/>
      <c r="V300" s="5"/>
      <c r="W300" s="5"/>
      <c r="X300" s="5" t="s">
        <v>37</v>
      </c>
      <c r="Y300" s="8" t="str">
        <f aca="false">IF($C300&lt;&gt;"",TRIM($C300&amp;", "&amp;$D300&amp;", "&amp;$E300&amp;" "&amp;$F300),IF($R300&lt;&gt;"",$R300,IF($D300&lt;&gt;"",$D300&amp;", "&amp;$E300,$I300)))</f>
        <v>301 JONES AVE, Holcomb, KS 67851</v>
      </c>
    </row>
    <row r="301" customFormat="false" ht="15" hidden="false" customHeight="true" outlineLevel="0" collapsed="false">
      <c r="A301" s="5" t="s">
        <v>1164</v>
      </c>
      <c r="B301" s="5" t="s">
        <v>1165</v>
      </c>
      <c r="C301" s="5" t="s">
        <v>1166</v>
      </c>
      <c r="D301" s="5" t="s">
        <v>483</v>
      </c>
      <c r="E301" s="5" t="s">
        <v>484</v>
      </c>
      <c r="F301" s="5" t="s">
        <v>1167</v>
      </c>
      <c r="G301" s="5" t="s">
        <v>31</v>
      </c>
      <c r="H301" s="5" t="s">
        <v>486</v>
      </c>
      <c r="I301" s="5" t="s">
        <v>487</v>
      </c>
      <c r="J301" s="6" t="n">
        <v>1</v>
      </c>
      <c r="K301" s="5" t="s">
        <v>76</v>
      </c>
      <c r="L301" s="5" t="n">
        <f aca="false">IF($K301="",0,LEN($K301)-LEN(SUBSTITUTE($K301,",",""))+1)</f>
        <v>1</v>
      </c>
      <c r="M301" s="5" t="s">
        <v>35</v>
      </c>
      <c r="N301" s="5" t="str">
        <f aca="false">TRIM($A301&amp;" "&amp;IF($C301="",$R301,$C301&amp;" "&amp;$D301&amp;" "&amp;$E301&amp;" "&amp;$F301))</f>
        <v>Tom's Wine &amp; Spirits 133 E 47th St S Wichita KS 67216</v>
      </c>
      <c r="O301" s="5" t="str">
        <f aca="false">IF($P301&lt;&gt;"","Exclude",IF(AND($M301&lt;&gt;"Full address",$R301=""),"Needs address",IF($J301&lt;0.5,"Hold - low volume",IF(LEFT($W301,3)="Low","Verify address",IF($G301="Needs review","Needs premise review",IF($X301="Estimated","Ready - address estimated","Ready"))))))</f>
        <v>Ready</v>
      </c>
      <c r="P301" s="5"/>
      <c r="Q301" s="5" t="s">
        <v>488</v>
      </c>
      <c r="R301" s="5"/>
      <c r="S301" s="5"/>
      <c r="T301" s="7"/>
      <c r="U301" s="7"/>
      <c r="V301" s="5"/>
      <c r="W301" s="5"/>
      <c r="X301" s="5" t="s">
        <v>37</v>
      </c>
      <c r="Y301" s="8" t="str">
        <f aca="false">IF($C301&lt;&gt;"",TRIM($C301&amp;", "&amp;$D301&amp;", "&amp;$E301&amp;" "&amp;$F301),IF($R301&lt;&gt;"",$R301,IF($D301&lt;&gt;"",$D301&amp;", "&amp;$E301,$I301)))</f>
        <v>133 E 47th St S, Wichita, KS 67216</v>
      </c>
    </row>
    <row r="302" customFormat="false" ht="15" hidden="false" customHeight="true" outlineLevel="0" collapsed="false">
      <c r="A302" s="5" t="s">
        <v>1168</v>
      </c>
      <c r="B302" s="5" t="s">
        <v>1169</v>
      </c>
      <c r="C302" s="5" t="s">
        <v>1170</v>
      </c>
      <c r="D302" s="5" t="s">
        <v>1171</v>
      </c>
      <c r="E302" s="5" t="s">
        <v>493</v>
      </c>
      <c r="F302" s="5" t="s">
        <v>1172</v>
      </c>
      <c r="G302" s="5" t="s">
        <v>31</v>
      </c>
      <c r="H302" s="5" t="s">
        <v>495</v>
      </c>
      <c r="I302" s="5" t="s">
        <v>496</v>
      </c>
      <c r="J302" s="6" t="n">
        <v>1</v>
      </c>
      <c r="K302" s="5" t="s">
        <v>76</v>
      </c>
      <c r="L302" s="5" t="n">
        <f aca="false">IF($K302="",0,LEN($K302)-LEN(SUBSTITUTE($K302,",",""))+1)</f>
        <v>1</v>
      </c>
      <c r="M302" s="5" t="s">
        <v>35</v>
      </c>
      <c r="N302" s="5" t="str">
        <f aca="false">TRIM($A302&amp;" "&amp;IF($C302="",$R302,$C302&amp;" "&amp;$D302&amp;" "&amp;$E302&amp;" "&amp;$F302))</f>
        <v>ROYALS LIQUOR FLORISSANT 490 Howdershell Road Florissant MO 63031</v>
      </c>
      <c r="O302" s="5" t="str">
        <f aca="false">IF($P302&lt;&gt;"","Exclude",IF(AND($M302&lt;&gt;"Full address",$R302=""),"Needs address",IF($J302&lt;0.5,"Hold - low volume",IF(LEFT($W302,3)="Low","Verify address",IF($G302="Needs review","Needs premise review",IF($X302="Estimated","Ready - address estimated","Ready"))))))</f>
        <v>Ready</v>
      </c>
      <c r="P302" s="5"/>
      <c r="Q302" s="5" t="s">
        <v>498</v>
      </c>
      <c r="R302" s="5"/>
      <c r="S302" s="5"/>
      <c r="T302" s="7"/>
      <c r="U302" s="7"/>
      <c r="V302" s="5"/>
      <c r="W302" s="5"/>
      <c r="X302" s="5" t="s">
        <v>37</v>
      </c>
      <c r="Y302" s="8" t="str">
        <f aca="false">IF($C302&lt;&gt;"",TRIM($C302&amp;", "&amp;$D302&amp;", "&amp;$E302&amp;" "&amp;$F302),IF($R302&lt;&gt;"",$R302,IF($D302&lt;&gt;"",$D302&amp;", "&amp;$E302,$I302)))</f>
        <v>490 Howdershell Road, Florissant, MO 63031</v>
      </c>
    </row>
    <row r="303" customFormat="false" ht="15" hidden="false" customHeight="true" outlineLevel="0" collapsed="false">
      <c r="A303" s="5" t="s">
        <v>1173</v>
      </c>
      <c r="B303" s="5" t="s">
        <v>1173</v>
      </c>
      <c r="C303" s="5"/>
      <c r="D303" s="5" t="s">
        <v>161</v>
      </c>
      <c r="E303" s="5" t="s">
        <v>147</v>
      </c>
      <c r="F303" s="5"/>
      <c r="G303" s="5" t="s">
        <v>31</v>
      </c>
      <c r="H303" s="5" t="s">
        <v>148</v>
      </c>
      <c r="I303" s="5" t="s">
        <v>149</v>
      </c>
      <c r="J303" s="6" t="n">
        <v>1</v>
      </c>
      <c r="K303" s="5" t="s">
        <v>319</v>
      </c>
      <c r="L303" s="5" t="n">
        <f aca="false">IF($K303="",0,LEN($K303)-LEN(SUBSTITUTE($K303,",",""))+1)</f>
        <v>1</v>
      </c>
      <c r="M303" s="5" t="s">
        <v>44</v>
      </c>
      <c r="N303" s="5" t="str">
        <f aca="false">TRIM($A303&amp;" "&amp;IF($C303="",$R303,$C303&amp;" "&amp;$D303&amp;" "&amp;$E303&amp;" "&amp;$F303))</f>
        <v>AAA AIRPORT LIQUORS(SC)</v>
      </c>
      <c r="O303" s="5" t="str">
        <f aca="false">IF($P303&lt;&gt;"","Exclude",IF(AND($M303&lt;&gt;"Full address",$R303=""),"Needs address",IF($J303&lt;0.5,"Hold - low volume",IF(LEFT($W303,3)="Low","Verify address",IF($G303="Needs review","Needs premise review",IF($X303="Estimated","Ready - address estimated","Ready"))))))</f>
        <v>Needs address</v>
      </c>
      <c r="P303" s="5"/>
      <c r="Q303" s="5" t="s">
        <v>150</v>
      </c>
      <c r="R303" s="5"/>
      <c r="S303" s="5"/>
      <c r="T303" s="7"/>
      <c r="U303" s="7"/>
      <c r="V303" s="5"/>
      <c r="W303" s="5"/>
      <c r="X303" s="5" t="s">
        <v>3</v>
      </c>
      <c r="Y303" s="8" t="str">
        <f aca="false">IF($C303&lt;&gt;"",TRIM($C303&amp;", "&amp;$D303&amp;", "&amp;$E303&amp;" "&amp;$F303),IF($R303&lt;&gt;"",$R303,IF($D303&lt;&gt;"",$D303&amp;", "&amp;$E303,$I303)))</f>
        <v>Myrtle Beach, SC</v>
      </c>
    </row>
    <row r="304" customFormat="false" ht="15" hidden="false" customHeight="true" outlineLevel="0" collapsed="false">
      <c r="A304" s="5" t="s">
        <v>1174</v>
      </c>
      <c r="B304" s="5" t="s">
        <v>1174</v>
      </c>
      <c r="C304" s="5"/>
      <c r="D304" s="5" t="s">
        <v>786</v>
      </c>
      <c r="E304" s="5" t="s">
        <v>147</v>
      </c>
      <c r="F304" s="5"/>
      <c r="G304" s="5" t="s">
        <v>31</v>
      </c>
      <c r="H304" s="5" t="s">
        <v>148</v>
      </c>
      <c r="I304" s="5" t="s">
        <v>149</v>
      </c>
      <c r="J304" s="6" t="n">
        <v>1</v>
      </c>
      <c r="K304" s="5" t="s">
        <v>63</v>
      </c>
      <c r="L304" s="5" t="n">
        <f aca="false">IF($K304="",0,LEN($K304)-LEN(SUBSTITUTE($K304,",",""))+1)</f>
        <v>2</v>
      </c>
      <c r="M304" s="5" t="s">
        <v>44</v>
      </c>
      <c r="N304" s="5" t="str">
        <f aca="false">TRIM($A304&amp;" "&amp;IF($C304="",$R304,$C304&amp;" "&amp;$D304&amp;" "&amp;$E304&amp;" "&amp;$F304))</f>
        <v>ABC Liquor Store (West Columbia)</v>
      </c>
      <c r="O304" s="5" t="str">
        <f aca="false">IF($P304&lt;&gt;"","Exclude",IF(AND($M304&lt;&gt;"Full address",$R304=""),"Needs address",IF($J304&lt;0.5,"Hold - low volume",IF(LEFT($W304,3)="Low","Verify address",IF($G304="Needs review","Needs premise review",IF($X304="Estimated","Ready - address estimated","Ready"))))))</f>
        <v>Needs address</v>
      </c>
      <c r="P304" s="5"/>
      <c r="Q304" s="5" t="s">
        <v>150</v>
      </c>
      <c r="R304" s="5"/>
      <c r="S304" s="5"/>
      <c r="T304" s="7"/>
      <c r="U304" s="7"/>
      <c r="V304" s="5"/>
      <c r="W304" s="5"/>
      <c r="X304" s="5" t="s">
        <v>3</v>
      </c>
      <c r="Y304" s="8" t="str">
        <f aca="false">IF($C304&lt;&gt;"",TRIM($C304&amp;", "&amp;$D304&amp;", "&amp;$E304&amp;" "&amp;$F304),IF($R304&lt;&gt;"",$R304,IF($D304&lt;&gt;"",$D304&amp;", "&amp;$E304,$I304)))</f>
        <v>West Columbia, SC</v>
      </c>
    </row>
    <row r="305" customFormat="false" ht="15" hidden="false" customHeight="true" outlineLevel="0" collapsed="false">
      <c r="A305" s="5" t="s">
        <v>1175</v>
      </c>
      <c r="B305" s="5" t="s">
        <v>1175</v>
      </c>
      <c r="C305" s="5"/>
      <c r="D305" s="5" t="s">
        <v>775</v>
      </c>
      <c r="E305" s="5" t="s">
        <v>147</v>
      </c>
      <c r="F305" s="5"/>
      <c r="G305" s="5" t="s">
        <v>31</v>
      </c>
      <c r="H305" s="5" t="s">
        <v>148</v>
      </c>
      <c r="I305" s="5" t="s">
        <v>149</v>
      </c>
      <c r="J305" s="6" t="n">
        <v>1</v>
      </c>
      <c r="K305" s="5" t="s">
        <v>426</v>
      </c>
      <c r="L305" s="5" t="n">
        <f aca="false">IF($K305="",0,LEN($K305)-LEN(SUBSTITUTE($K305,",",""))+1)</f>
        <v>1</v>
      </c>
      <c r="M305" s="5" t="s">
        <v>44</v>
      </c>
      <c r="N305" s="5" t="str">
        <f aca="false">TRIM($A305&amp;" "&amp;IF($C305="",$R305,$C305&amp;" "&amp;$D305&amp;" "&amp;$E305&amp;" "&amp;$F305))</f>
        <v>DEV LIQUORS SUMMERVILLE</v>
      </c>
      <c r="O305" s="5" t="str">
        <f aca="false">IF($P305&lt;&gt;"","Exclude",IF(AND($M305&lt;&gt;"Full address",$R305=""),"Needs address",IF($J305&lt;0.5,"Hold - low volume",IF(LEFT($W305,3)="Low","Verify address",IF($G305="Needs review","Needs premise review",IF($X305="Estimated","Ready - address estimated","Ready"))))))</f>
        <v>Needs address</v>
      </c>
      <c r="P305" s="5"/>
      <c r="Q305" s="5" t="s">
        <v>150</v>
      </c>
      <c r="R305" s="5"/>
      <c r="S305" s="5"/>
      <c r="T305" s="7"/>
      <c r="U305" s="7"/>
      <c r="V305" s="5"/>
      <c r="W305" s="5"/>
      <c r="X305" s="5" t="s">
        <v>3</v>
      </c>
      <c r="Y305" s="8" t="str">
        <f aca="false">IF($C305&lt;&gt;"",TRIM($C305&amp;", "&amp;$D305&amp;", "&amp;$E305&amp;" "&amp;$F305),IF($R305&lt;&gt;"",$R305,IF($D305&lt;&gt;"",$D305&amp;", "&amp;$E305,$I305)))</f>
        <v>Summerville, SC</v>
      </c>
    </row>
    <row r="306" customFormat="false" ht="15" hidden="false" customHeight="true" outlineLevel="0" collapsed="false">
      <c r="A306" s="5" t="s">
        <v>1176</v>
      </c>
      <c r="B306" s="5" t="s">
        <v>1176</v>
      </c>
      <c r="C306" s="5"/>
      <c r="D306" s="5" t="s">
        <v>824</v>
      </c>
      <c r="E306" s="5" t="s">
        <v>147</v>
      </c>
      <c r="F306" s="5"/>
      <c r="G306" s="5" t="s">
        <v>31</v>
      </c>
      <c r="H306" s="5" t="s">
        <v>148</v>
      </c>
      <c r="I306" s="5" t="s">
        <v>149</v>
      </c>
      <c r="J306" s="6" t="n">
        <v>1</v>
      </c>
      <c r="K306" s="5" t="s">
        <v>319</v>
      </c>
      <c r="L306" s="5" t="n">
        <f aca="false">IF($K306="",0,LEN($K306)-LEN(SUBSTITUTE($K306,",",""))+1)</f>
        <v>1</v>
      </c>
      <c r="M306" s="5" t="s">
        <v>44</v>
      </c>
      <c r="N306" s="5" t="str">
        <f aca="false">TRIM($A306&amp;" "&amp;IF($C306="",$R306,$C306&amp;" "&amp;$D306&amp;" "&amp;$E306&amp;" "&amp;$F306))</f>
        <v>EAGLES LIQUOR Boiling Springs</v>
      </c>
      <c r="O306" s="5" t="str">
        <f aca="false">IF($P306&lt;&gt;"","Exclude",IF(AND($M306&lt;&gt;"Full address",$R306=""),"Needs address",IF($J306&lt;0.5,"Hold - low volume",IF(LEFT($W306,3)="Low","Verify address",IF($G306="Needs review","Needs premise review",IF($X306="Estimated","Ready - address estimated","Ready"))))))</f>
        <v>Needs address</v>
      </c>
      <c r="P306" s="5"/>
      <c r="Q306" s="5" t="s">
        <v>150</v>
      </c>
      <c r="R306" s="5"/>
      <c r="S306" s="5"/>
      <c r="T306" s="7"/>
      <c r="U306" s="7"/>
      <c r="V306" s="5"/>
      <c r="W306" s="5"/>
      <c r="X306" s="5" t="s">
        <v>3</v>
      </c>
      <c r="Y306" s="8" t="str">
        <f aca="false">IF($C306&lt;&gt;"",TRIM($C306&amp;", "&amp;$D306&amp;", "&amp;$E306&amp;" "&amp;$F306),IF($R306&lt;&gt;"",$R306,IF($D306&lt;&gt;"",$D306&amp;", "&amp;$E306,$I306)))</f>
        <v>Boiling Springs, SC</v>
      </c>
    </row>
    <row r="307" customFormat="false" ht="15" hidden="false" customHeight="true" outlineLevel="0" collapsed="false">
      <c r="A307" s="5" t="s">
        <v>1177</v>
      </c>
      <c r="B307" s="5" t="s">
        <v>1177</v>
      </c>
      <c r="C307" s="5"/>
      <c r="D307" s="5" t="s">
        <v>750</v>
      </c>
      <c r="E307" s="5" t="s">
        <v>147</v>
      </c>
      <c r="F307" s="5"/>
      <c r="G307" s="5" t="s">
        <v>31</v>
      </c>
      <c r="H307" s="5" t="s">
        <v>148</v>
      </c>
      <c r="I307" s="5" t="s">
        <v>149</v>
      </c>
      <c r="J307" s="6" t="n">
        <v>1</v>
      </c>
      <c r="K307" s="5" t="s">
        <v>319</v>
      </c>
      <c r="L307" s="5" t="n">
        <f aca="false">IF($K307="",0,LEN($K307)-LEN(SUBSTITUTE($K307,",",""))+1)</f>
        <v>1</v>
      </c>
      <c r="M307" s="5" t="s">
        <v>44</v>
      </c>
      <c r="N307" s="5" t="str">
        <f aca="false">TRIM($A307&amp;" "&amp;IF($C307="",$R307,$C307&amp;" "&amp;$D307&amp;" "&amp;$E307&amp;" "&amp;$F307))</f>
        <v>Express Beverage</v>
      </c>
      <c r="O307" s="5" t="str">
        <f aca="false">IF($P307&lt;&gt;"","Exclude",IF(AND($M307&lt;&gt;"Full address",$R307=""),"Needs address",IF($J307&lt;0.5,"Hold - low volume",IF(LEFT($W307,3)="Low","Verify address",IF($G307="Needs review","Needs premise review",IF($X307="Estimated","Ready - address estimated","Ready"))))))</f>
        <v>Needs address</v>
      </c>
      <c r="P307" s="5"/>
      <c r="Q307" s="5" t="s">
        <v>150</v>
      </c>
      <c r="R307" s="5"/>
      <c r="S307" s="5"/>
      <c r="T307" s="7"/>
      <c r="U307" s="7"/>
      <c r="V307" s="5"/>
      <c r="W307" s="5"/>
      <c r="X307" s="5" t="s">
        <v>3</v>
      </c>
      <c r="Y307" s="8" t="str">
        <f aca="false">IF($C307&lt;&gt;"",TRIM($C307&amp;", "&amp;$D307&amp;", "&amp;$E307&amp;" "&amp;$F307),IF($R307&lt;&gt;"",$R307,IF($D307&lt;&gt;"",$D307&amp;", "&amp;$E307,$I307)))</f>
        <v>Rock Hill, SC</v>
      </c>
    </row>
    <row r="308" customFormat="false" ht="15" hidden="false" customHeight="true" outlineLevel="0" collapsed="false">
      <c r="A308" s="5" t="s">
        <v>1178</v>
      </c>
      <c r="B308" s="5" t="s">
        <v>1178</v>
      </c>
      <c r="C308" s="5"/>
      <c r="D308" s="5" t="s">
        <v>791</v>
      </c>
      <c r="E308" s="5" t="s">
        <v>147</v>
      </c>
      <c r="F308" s="5"/>
      <c r="G308" s="5" t="s">
        <v>144</v>
      </c>
      <c r="H308" s="5" t="s">
        <v>148</v>
      </c>
      <c r="I308" s="5" t="s">
        <v>149</v>
      </c>
      <c r="J308" s="6" t="n">
        <v>1</v>
      </c>
      <c r="K308" s="5" t="s">
        <v>319</v>
      </c>
      <c r="L308" s="5" t="n">
        <f aca="false">IF($K308="",0,LEN($K308)-LEN(SUBSTITUTE($K308,",",""))+1)</f>
        <v>1</v>
      </c>
      <c r="M308" s="5" t="s">
        <v>44</v>
      </c>
      <c r="N308" s="5" t="str">
        <f aca="false">TRIM($A308&amp;" "&amp;IF($C308="",$R308,$C308&amp;" "&amp;$D308&amp;" "&amp;$E308&amp;" "&amp;$F308))</f>
        <v>Greens Bev Greenville</v>
      </c>
      <c r="O308" s="5" t="str">
        <f aca="false">IF($P308&lt;&gt;"","Exclude",IF(AND($M308&lt;&gt;"Full address",$R308=""),"Needs address",IF($J308&lt;0.5,"Hold - low volume",IF(LEFT($W308,3)="Low","Verify address",IF($G308="Needs review","Needs premise review",IF($X308="Estimated","Ready - address estimated","Ready"))))))</f>
        <v>Needs address</v>
      </c>
      <c r="P308" s="5"/>
      <c r="Q308" s="5" t="s">
        <v>150</v>
      </c>
      <c r="R308" s="5"/>
      <c r="S308" s="5"/>
      <c r="T308" s="7"/>
      <c r="U308" s="7"/>
      <c r="V308" s="5"/>
      <c r="W308" s="5"/>
      <c r="X308" s="5" t="s">
        <v>3</v>
      </c>
      <c r="Y308" s="8" t="str">
        <f aca="false">IF($C308&lt;&gt;"",TRIM($C308&amp;", "&amp;$D308&amp;", "&amp;$E308&amp;" "&amp;$F308),IF($R308&lt;&gt;"",$R308,IF($D308&lt;&gt;"",$D308&amp;", "&amp;$E308,$I308)))</f>
        <v>Greenville, SC</v>
      </c>
    </row>
    <row r="309" customFormat="false" ht="15" hidden="false" customHeight="true" outlineLevel="0" collapsed="false">
      <c r="A309" s="5" t="s">
        <v>1179</v>
      </c>
      <c r="B309" s="5" t="s">
        <v>1179</v>
      </c>
      <c r="C309" s="5"/>
      <c r="D309" s="5" t="s">
        <v>775</v>
      </c>
      <c r="E309" s="5" t="s">
        <v>147</v>
      </c>
      <c r="F309" s="5"/>
      <c r="G309" s="5" t="s">
        <v>31</v>
      </c>
      <c r="H309" s="5" t="s">
        <v>148</v>
      </c>
      <c r="I309" s="5" t="s">
        <v>149</v>
      </c>
      <c r="J309" s="6" t="n">
        <v>1</v>
      </c>
      <c r="K309" s="5" t="s">
        <v>426</v>
      </c>
      <c r="L309" s="5" t="n">
        <f aca="false">IF($K309="",0,LEN($K309)-LEN(SUBSTITUTE($K309,",",""))+1)</f>
        <v>1</v>
      </c>
      <c r="M309" s="5" t="s">
        <v>44</v>
      </c>
      <c r="N309" s="5" t="str">
        <f aca="false">TRIM($A309&amp;" "&amp;IF($C309="",$R309,$C309&amp;" "&amp;$D309&amp;" "&amp;$E309&amp;" "&amp;$F309))</f>
        <v>Jimmys Liquors &amp; Wine</v>
      </c>
      <c r="O309" s="5" t="str">
        <f aca="false">IF($P309&lt;&gt;"","Exclude",IF(AND($M309&lt;&gt;"Full address",$R309=""),"Needs address",IF($J309&lt;0.5,"Hold - low volume",IF(LEFT($W309,3)="Low","Verify address",IF($G309="Needs review","Needs premise review",IF($X309="Estimated","Ready - address estimated","Ready"))))))</f>
        <v>Needs address</v>
      </c>
      <c r="P309" s="5"/>
      <c r="Q309" s="5" t="s">
        <v>150</v>
      </c>
      <c r="R309" s="5"/>
      <c r="S309" s="5"/>
      <c r="T309" s="7"/>
      <c r="U309" s="7"/>
      <c r="V309" s="5"/>
      <c r="W309" s="5"/>
      <c r="X309" s="5" t="s">
        <v>3</v>
      </c>
      <c r="Y309" s="8" t="str">
        <f aca="false">IF($C309&lt;&gt;"",TRIM($C309&amp;", "&amp;$D309&amp;", "&amp;$E309&amp;" "&amp;$F309),IF($R309&lt;&gt;"",$R309,IF($D309&lt;&gt;"",$D309&amp;", "&amp;$E309,$I309)))</f>
        <v>Summerville, SC</v>
      </c>
    </row>
    <row r="310" customFormat="false" ht="15" hidden="false" customHeight="true" outlineLevel="0" collapsed="false">
      <c r="A310" s="5" t="s">
        <v>1180</v>
      </c>
      <c r="B310" s="5" t="s">
        <v>1180</v>
      </c>
      <c r="C310" s="5"/>
      <c r="D310" s="5" t="s">
        <v>161</v>
      </c>
      <c r="E310" s="5" t="s">
        <v>147</v>
      </c>
      <c r="F310" s="5"/>
      <c r="G310" s="5" t="s">
        <v>31</v>
      </c>
      <c r="H310" s="5" t="s">
        <v>148</v>
      </c>
      <c r="I310" s="5" t="s">
        <v>149</v>
      </c>
      <c r="J310" s="6" t="n">
        <v>1</v>
      </c>
      <c r="K310" s="5" t="s">
        <v>76</v>
      </c>
      <c r="L310" s="5" t="n">
        <f aca="false">IF($K310="",0,LEN($K310)-LEN(SUBSTITUTE($K310,",",""))+1)</f>
        <v>1</v>
      </c>
      <c r="M310" s="5" t="s">
        <v>44</v>
      </c>
      <c r="N310" s="5" t="str">
        <f aca="false">TRIM($A310&amp;" "&amp;IF($C310="",$R310,$C310&amp;" "&amp;$D310&amp;" "&amp;$E310&amp;" "&amp;$F310))</f>
        <v>KAHUNA LIQUORS</v>
      </c>
      <c r="O310" s="5" t="str">
        <f aca="false">IF($P310&lt;&gt;"","Exclude",IF(AND($M310&lt;&gt;"Full address",$R310=""),"Needs address",IF($J310&lt;0.5,"Hold - low volume",IF(LEFT($W310,3)="Low","Verify address",IF($G310="Needs review","Needs premise review",IF($X310="Estimated","Ready - address estimated","Ready"))))))</f>
        <v>Needs address</v>
      </c>
      <c r="P310" s="5"/>
      <c r="Q310" s="5" t="s">
        <v>150</v>
      </c>
      <c r="R310" s="5"/>
      <c r="S310" s="5"/>
      <c r="T310" s="7"/>
      <c r="U310" s="7"/>
      <c r="V310" s="5"/>
      <c r="W310" s="5"/>
      <c r="X310" s="5" t="s">
        <v>3</v>
      </c>
      <c r="Y310" s="8" t="str">
        <f aca="false">IF($C310&lt;&gt;"",TRIM($C310&amp;", "&amp;$D310&amp;", "&amp;$E310&amp;" "&amp;$F310),IF($R310&lt;&gt;"",$R310,IF($D310&lt;&gt;"",$D310&amp;", "&amp;$E310,$I310)))</f>
        <v>Myrtle Beach, SC</v>
      </c>
    </row>
    <row r="311" customFormat="false" ht="15" hidden="false" customHeight="true" outlineLevel="0" collapsed="false">
      <c r="A311" s="5" t="s">
        <v>1181</v>
      </c>
      <c r="B311" s="5" t="s">
        <v>1181</v>
      </c>
      <c r="C311" s="5"/>
      <c r="D311" s="5" t="s">
        <v>161</v>
      </c>
      <c r="E311" s="5" t="s">
        <v>147</v>
      </c>
      <c r="F311" s="5"/>
      <c r="G311" s="5" t="s">
        <v>31</v>
      </c>
      <c r="H311" s="5" t="s">
        <v>148</v>
      </c>
      <c r="I311" s="5" t="s">
        <v>149</v>
      </c>
      <c r="J311" s="6" t="n">
        <v>1</v>
      </c>
      <c r="K311" s="5" t="s">
        <v>1163</v>
      </c>
      <c r="L311" s="5" t="n">
        <f aca="false">IF($K311="",0,LEN($K311)-LEN(SUBSTITUTE($K311,",",""))+1)</f>
        <v>1</v>
      </c>
      <c r="M311" s="5" t="s">
        <v>44</v>
      </c>
      <c r="N311" s="5" t="str">
        <f aca="false">TRIM($A311&amp;" "&amp;IF($C311="",$R311,$C311&amp;" "&amp;$D311&amp;" "&amp;$E311&amp;" "&amp;$F311))</f>
        <v>Owens Liquors - LD</v>
      </c>
      <c r="O311" s="5" t="str">
        <f aca="false">IF($P311&lt;&gt;"","Exclude",IF(AND($M311&lt;&gt;"Full address",$R311=""),"Needs address",IF($J311&lt;0.5,"Hold - low volume",IF(LEFT($W311,3)="Low","Verify address",IF($G311="Needs review","Needs premise review",IF($X311="Estimated","Ready - address estimated","Ready"))))))</f>
        <v>Needs address</v>
      </c>
      <c r="P311" s="5"/>
      <c r="Q311" s="5" t="s">
        <v>150</v>
      </c>
      <c r="R311" s="5"/>
      <c r="S311" s="5"/>
      <c r="T311" s="7"/>
      <c r="U311" s="7"/>
      <c r="V311" s="5"/>
      <c r="W311" s="5"/>
      <c r="X311" s="5" t="s">
        <v>3</v>
      </c>
      <c r="Y311" s="8" t="str">
        <f aca="false">IF($C311&lt;&gt;"",TRIM($C311&amp;", "&amp;$D311&amp;", "&amp;$E311&amp;" "&amp;$F311),IF($R311&lt;&gt;"",$R311,IF($D311&lt;&gt;"",$D311&amp;", "&amp;$E311,$I311)))</f>
        <v>Myrtle Beach, SC</v>
      </c>
    </row>
    <row r="312" customFormat="false" ht="15" hidden="false" customHeight="true" outlineLevel="0" collapsed="false">
      <c r="A312" s="5" t="s">
        <v>1182</v>
      </c>
      <c r="B312" s="5" t="s">
        <v>1182</v>
      </c>
      <c r="C312" s="5"/>
      <c r="D312" s="5" t="s">
        <v>791</v>
      </c>
      <c r="E312" s="5" t="s">
        <v>147</v>
      </c>
      <c r="F312" s="5"/>
      <c r="G312" s="5" t="s">
        <v>144</v>
      </c>
      <c r="H312" s="5" t="s">
        <v>148</v>
      </c>
      <c r="I312" s="5" t="s">
        <v>149</v>
      </c>
      <c r="J312" s="6" t="n">
        <v>1</v>
      </c>
      <c r="K312" s="5" t="s">
        <v>426</v>
      </c>
      <c r="L312" s="5" t="n">
        <f aca="false">IF($K312="",0,LEN($K312)-LEN(SUBSTITUTE($K312,",",""))+1)</f>
        <v>1</v>
      </c>
      <c r="M312" s="5" t="s">
        <v>44</v>
      </c>
      <c r="N312" s="5" t="str">
        <f aca="false">TRIM($A312&amp;" "&amp;IF($C312="",$R312,$C312&amp;" "&amp;$D312&amp;" "&amp;$E312&amp;" "&amp;$F312))</f>
        <v>Racks Bottleshop</v>
      </c>
      <c r="O312" s="5" t="str">
        <f aca="false">IF($P312&lt;&gt;"","Exclude",IF(AND($M312&lt;&gt;"Full address",$R312=""),"Needs address",IF($J312&lt;0.5,"Hold - low volume",IF(LEFT($W312,3)="Low","Verify address",IF($G312="Needs review","Needs premise review",IF($X312="Estimated","Ready - address estimated","Ready"))))))</f>
        <v>Needs address</v>
      </c>
      <c r="P312" s="5"/>
      <c r="Q312" s="5" t="s">
        <v>150</v>
      </c>
      <c r="R312" s="5"/>
      <c r="S312" s="5"/>
      <c r="T312" s="7"/>
      <c r="U312" s="7"/>
      <c r="V312" s="5"/>
      <c r="W312" s="5"/>
      <c r="X312" s="5" t="s">
        <v>3</v>
      </c>
      <c r="Y312" s="8" t="str">
        <f aca="false">IF($C312&lt;&gt;"",TRIM($C312&amp;", "&amp;$D312&amp;", "&amp;$E312&amp;" "&amp;$F312),IF($R312&lt;&gt;"",$R312,IF($D312&lt;&gt;"",$D312&amp;", "&amp;$E312,$I312)))</f>
        <v>Greenville, SC</v>
      </c>
    </row>
    <row r="313" customFormat="false" ht="15" hidden="false" customHeight="true" outlineLevel="0" collapsed="false">
      <c r="A313" s="5" t="s">
        <v>1183</v>
      </c>
      <c r="B313" s="5" t="s">
        <v>1183</v>
      </c>
      <c r="C313" s="5" t="s">
        <v>1184</v>
      </c>
      <c r="D313" s="5" t="s">
        <v>1185</v>
      </c>
      <c r="E313" s="5" t="s">
        <v>375</v>
      </c>
      <c r="F313" s="5" t="s">
        <v>1186</v>
      </c>
      <c r="G313" s="5" t="s">
        <v>31</v>
      </c>
      <c r="H313" s="5" t="s">
        <v>378</v>
      </c>
      <c r="I313" s="5" t="s">
        <v>379</v>
      </c>
      <c r="J313" s="6" t="n">
        <v>1</v>
      </c>
      <c r="K313" s="5" t="s">
        <v>76</v>
      </c>
      <c r="L313" s="5" t="n">
        <f aca="false">IF($K313="",0,LEN($K313)-LEN(SUBSTITUTE($K313,",",""))+1)</f>
        <v>1</v>
      </c>
      <c r="M313" s="5" t="s">
        <v>35</v>
      </c>
      <c r="N313" s="5" t="str">
        <f aca="false">TRIM($A313&amp;" "&amp;IF($C313="",$R313,$C313&amp;" "&amp;$D313&amp;" "&amp;$E313&amp;" "&amp;$F313))</f>
        <v>Admiral Wine &amp; Spirits 2081 Willow Loop Way Knoxville TN 37922</v>
      </c>
      <c r="O313" s="5" t="str">
        <f aca="false">IF($P313&lt;&gt;"","Exclude",IF(AND($M313&lt;&gt;"Full address",$R313=""),"Needs address",IF($J313&lt;0.5,"Hold - low volume",IF(LEFT($W313,3)="Low","Verify address",IF($G313="Needs review","Needs premise review",IF($X313="Estimated","Ready - address estimated","Ready"))))))</f>
        <v>Ready</v>
      </c>
      <c r="P313" s="5"/>
      <c r="Q313" s="5" t="s">
        <v>380</v>
      </c>
      <c r="R313" s="5"/>
      <c r="S313" s="5"/>
      <c r="T313" s="7"/>
      <c r="U313" s="7"/>
      <c r="V313" s="5"/>
      <c r="W313" s="5"/>
      <c r="X313" s="5" t="s">
        <v>37</v>
      </c>
      <c r="Y313" s="8" t="str">
        <f aca="false">IF($C313&lt;&gt;"",TRIM($C313&amp;", "&amp;$D313&amp;", "&amp;$E313&amp;" "&amp;$F313),IF($R313&lt;&gt;"",$R313,IF($D313&lt;&gt;"",$D313&amp;", "&amp;$E313,$I313)))</f>
        <v>2081 Willow Loop Way, Knoxville, TN 37922</v>
      </c>
    </row>
    <row r="314" customFormat="false" ht="15" hidden="false" customHeight="true" outlineLevel="0" collapsed="false">
      <c r="A314" s="5" t="s">
        <v>1187</v>
      </c>
      <c r="B314" s="5" t="s">
        <v>1187</v>
      </c>
      <c r="C314" s="5" t="s">
        <v>1188</v>
      </c>
      <c r="D314" s="5" t="s">
        <v>1189</v>
      </c>
      <c r="E314" s="5" t="s">
        <v>375</v>
      </c>
      <c r="F314" s="5" t="s">
        <v>1190</v>
      </c>
      <c r="G314" s="5" t="s">
        <v>31</v>
      </c>
      <c r="H314" s="5" t="s">
        <v>378</v>
      </c>
      <c r="I314" s="5" t="s">
        <v>379</v>
      </c>
      <c r="J314" s="6" t="n">
        <v>1</v>
      </c>
      <c r="K314" s="5" t="s">
        <v>319</v>
      </c>
      <c r="L314" s="5" t="n">
        <f aca="false">IF($K314="",0,LEN($K314)-LEN(SUBSTITUTE($K314,",",""))+1)</f>
        <v>1</v>
      </c>
      <c r="M314" s="5" t="s">
        <v>35</v>
      </c>
      <c r="N314" s="5" t="str">
        <f aca="false">TRIM($A314&amp;" "&amp;IF($C314="",$R314,$C314&amp;" "&amp;$D314&amp;" "&amp;$E314&amp;" "&amp;$F314))</f>
        <v>Foothill Plaza Wine And Spirits 502 N. Foothill Plaza Drive Maryville TN 37801</v>
      </c>
      <c r="O314" s="5" t="str">
        <f aca="false">IF($P314&lt;&gt;"","Exclude",IF(AND($M314&lt;&gt;"Full address",$R314=""),"Needs address",IF($J314&lt;0.5,"Hold - low volume",IF(LEFT($W314,3)="Low","Verify address",IF($G314="Needs review","Needs premise review",IF($X314="Estimated","Ready - address estimated","Ready"))))))</f>
        <v>Ready</v>
      </c>
      <c r="P314" s="5"/>
      <c r="Q314" s="5" t="s">
        <v>380</v>
      </c>
      <c r="R314" s="5"/>
      <c r="S314" s="5"/>
      <c r="T314" s="7"/>
      <c r="U314" s="7"/>
      <c r="V314" s="5"/>
      <c r="W314" s="5"/>
      <c r="X314" s="5" t="s">
        <v>37</v>
      </c>
      <c r="Y314" s="8" t="str">
        <f aca="false">IF($C314&lt;&gt;"",TRIM($C314&amp;", "&amp;$D314&amp;", "&amp;$E314&amp;" "&amp;$F314),IF($R314&lt;&gt;"",$R314,IF($D314&lt;&gt;"",$D314&amp;", "&amp;$E314,$I314)))</f>
        <v>502 N. Foothill Plaza Drive, Maryville, TN 37801</v>
      </c>
    </row>
    <row r="315" customFormat="false" ht="15" hidden="false" customHeight="true" outlineLevel="0" collapsed="false">
      <c r="A315" s="5" t="s">
        <v>1191</v>
      </c>
      <c r="B315" s="5" t="s">
        <v>1191</v>
      </c>
      <c r="C315" s="5" t="s">
        <v>1192</v>
      </c>
      <c r="D315" s="5" t="s">
        <v>1193</v>
      </c>
      <c r="E315" s="5" t="s">
        <v>375</v>
      </c>
      <c r="F315" s="5" t="s">
        <v>1194</v>
      </c>
      <c r="G315" s="5" t="s">
        <v>31</v>
      </c>
      <c r="H315" s="5" t="s">
        <v>378</v>
      </c>
      <c r="I315" s="5" t="s">
        <v>379</v>
      </c>
      <c r="J315" s="6" t="n">
        <v>1</v>
      </c>
      <c r="K315" s="5" t="s">
        <v>76</v>
      </c>
      <c r="L315" s="5" t="n">
        <f aca="false">IF($K315="",0,LEN($K315)-LEN(SUBSTITUTE($K315,",",""))+1)</f>
        <v>1</v>
      </c>
      <c r="M315" s="5" t="s">
        <v>35</v>
      </c>
      <c r="N315" s="5" t="str">
        <f aca="false">TRIM($A315&amp;" "&amp;IF($C315="",$R315,$C315&amp;" "&amp;$D315&amp;" "&amp;$E315&amp;" "&amp;$F315))</f>
        <v>Hamilton Liquor 2288 Gunbarrel Rd Chattanooga TN 37421</v>
      </c>
      <c r="O315" s="5" t="str">
        <f aca="false">IF($P315&lt;&gt;"","Exclude",IF(AND($M315&lt;&gt;"Full address",$R315=""),"Needs address",IF($J315&lt;0.5,"Hold - low volume",IF(LEFT($W315,3)="Low","Verify address",IF($G315="Needs review","Needs premise review",IF($X315="Estimated","Ready - address estimated","Ready"))))))</f>
        <v>Ready</v>
      </c>
      <c r="P315" s="5"/>
      <c r="Q315" s="5" t="s">
        <v>380</v>
      </c>
      <c r="R315" s="5"/>
      <c r="S315" s="5"/>
      <c r="T315" s="7"/>
      <c r="U315" s="7"/>
      <c r="V315" s="5"/>
      <c r="W315" s="5"/>
      <c r="X315" s="5" t="s">
        <v>37</v>
      </c>
      <c r="Y315" s="8" t="str">
        <f aca="false">IF($C315&lt;&gt;"",TRIM($C315&amp;", "&amp;$D315&amp;", "&amp;$E315&amp;" "&amp;$F315),IF($R315&lt;&gt;"",$R315,IF($D315&lt;&gt;"",$D315&amp;", "&amp;$E315,$I315)))</f>
        <v>2288 Gunbarrel Rd, Chattanooga, TN 37421</v>
      </c>
    </row>
    <row r="316" customFormat="false" ht="15" hidden="false" customHeight="true" outlineLevel="0" collapsed="false">
      <c r="A316" s="5" t="s">
        <v>1195</v>
      </c>
      <c r="B316" s="5" t="s">
        <v>1195</v>
      </c>
      <c r="C316" s="5" t="s">
        <v>1196</v>
      </c>
      <c r="D316" s="5" t="s">
        <v>1197</v>
      </c>
      <c r="E316" s="5" t="s">
        <v>375</v>
      </c>
      <c r="F316" s="5" t="s">
        <v>1198</v>
      </c>
      <c r="G316" s="5" t="s">
        <v>31</v>
      </c>
      <c r="H316" s="5" t="s">
        <v>378</v>
      </c>
      <c r="I316" s="5" t="s">
        <v>379</v>
      </c>
      <c r="J316" s="6" t="n">
        <v>1</v>
      </c>
      <c r="K316" s="5" t="s">
        <v>76</v>
      </c>
      <c r="L316" s="5" t="n">
        <f aca="false">IF($K316="",0,LEN($K316)-LEN(SUBSTITUTE($K316,",",""))+1)</f>
        <v>1</v>
      </c>
      <c r="M316" s="5" t="s">
        <v>35</v>
      </c>
      <c r="N316" s="5" t="str">
        <f aca="false">TRIM($A316&amp;" "&amp;IF($C316="",$R316,$C316&amp;" "&amp;$D316&amp;" "&amp;$E316&amp;" "&amp;$F316))</f>
        <v>Hilltop Bottle Shop 6032 Hwy 153 Hixson TN 37343</v>
      </c>
      <c r="O316" s="5" t="str">
        <f aca="false">IF($P316&lt;&gt;"","Exclude",IF(AND($M316&lt;&gt;"Full address",$R316=""),"Needs address",IF($J316&lt;0.5,"Hold - low volume",IF(LEFT($W316,3)="Low","Verify address",IF($G316="Needs review","Needs premise review",IF($X316="Estimated","Ready - address estimated","Ready"))))))</f>
        <v>Ready</v>
      </c>
      <c r="P316" s="5"/>
      <c r="Q316" s="5" t="s">
        <v>380</v>
      </c>
      <c r="R316" s="5"/>
      <c r="S316" s="5"/>
      <c r="T316" s="7"/>
      <c r="U316" s="7"/>
      <c r="V316" s="5"/>
      <c r="W316" s="5"/>
      <c r="X316" s="5" t="s">
        <v>37</v>
      </c>
      <c r="Y316" s="8" t="str">
        <f aca="false">IF($C316&lt;&gt;"",TRIM($C316&amp;", "&amp;$D316&amp;", "&amp;$E316&amp;" "&amp;$F316),IF($R316&lt;&gt;"",$R316,IF($D316&lt;&gt;"",$D316&amp;", "&amp;$E316,$I316)))</f>
        <v>6032 Hwy 153, Hixson, TN 37343</v>
      </c>
    </row>
    <row r="317" customFormat="false" ht="15" hidden="false" customHeight="true" outlineLevel="0" collapsed="false">
      <c r="A317" s="5" t="s">
        <v>1199</v>
      </c>
      <c r="B317" s="5" t="s">
        <v>1199</v>
      </c>
      <c r="C317" s="5" t="s">
        <v>1200</v>
      </c>
      <c r="D317" s="5" t="s">
        <v>1193</v>
      </c>
      <c r="E317" s="5" t="s">
        <v>375</v>
      </c>
      <c r="F317" s="5" t="s">
        <v>1201</v>
      </c>
      <c r="G317" s="5" t="s">
        <v>144</v>
      </c>
      <c r="H317" s="5" t="s">
        <v>378</v>
      </c>
      <c r="I317" s="5" t="s">
        <v>379</v>
      </c>
      <c r="J317" s="6" t="n">
        <v>1</v>
      </c>
      <c r="K317" s="5" t="s">
        <v>426</v>
      </c>
      <c r="L317" s="5" t="n">
        <f aca="false">IF($K317="",0,LEN($K317)-LEN(SUBSTITUTE($K317,",",""))+1)</f>
        <v>1</v>
      </c>
      <c r="M317" s="5" t="s">
        <v>35</v>
      </c>
      <c r="N317" s="5" t="str">
        <f aca="false">TRIM($A317&amp;" "&amp;IF($C317="",$R317,$C317&amp;" "&amp;$D317&amp;" "&amp;$E317&amp;" "&amp;$F317))</f>
        <v>J J 'S 4202 Rossville Blvd Chattanooga TN 37407</v>
      </c>
      <c r="O317" s="5" t="str">
        <f aca="false">IF($P317&lt;&gt;"","Exclude",IF(AND($M317&lt;&gt;"Full address",$R317=""),"Needs address",IF($J317&lt;0.5,"Hold - low volume",IF(LEFT($W317,3)="Low","Verify address",IF($G317="Needs review","Needs premise review",IF($X317="Estimated","Ready - address estimated","Ready"))))))</f>
        <v>Needs premise review</v>
      </c>
      <c r="P317" s="5"/>
      <c r="Q317" s="5" t="s">
        <v>380</v>
      </c>
      <c r="R317" s="5"/>
      <c r="S317" s="5"/>
      <c r="T317" s="7"/>
      <c r="U317" s="7"/>
      <c r="V317" s="5"/>
      <c r="W317" s="5"/>
      <c r="X317" s="5" t="s">
        <v>37</v>
      </c>
      <c r="Y317" s="8" t="str">
        <f aca="false">IF($C317&lt;&gt;"",TRIM($C317&amp;", "&amp;$D317&amp;", "&amp;$E317&amp;" "&amp;$F317),IF($R317&lt;&gt;"",$R317,IF($D317&lt;&gt;"",$D317&amp;", "&amp;$E317,$I317)))</f>
        <v>4202 Rossville Blvd, Chattanooga, TN 37407</v>
      </c>
    </row>
    <row r="318" customFormat="false" ht="15" hidden="false" customHeight="true" outlineLevel="0" collapsed="false">
      <c r="A318" s="5" t="s">
        <v>1202</v>
      </c>
      <c r="B318" s="5" t="s">
        <v>1202</v>
      </c>
      <c r="C318" s="5" t="s">
        <v>1203</v>
      </c>
      <c r="D318" s="5" t="s">
        <v>1185</v>
      </c>
      <c r="E318" s="5" t="s">
        <v>375</v>
      </c>
      <c r="F318" s="5" t="s">
        <v>1186</v>
      </c>
      <c r="G318" s="5" t="s">
        <v>31</v>
      </c>
      <c r="H318" s="5" t="s">
        <v>378</v>
      </c>
      <c r="I318" s="5" t="s">
        <v>379</v>
      </c>
      <c r="J318" s="6" t="n">
        <v>1</v>
      </c>
      <c r="K318" s="5" t="s">
        <v>76</v>
      </c>
      <c r="L318" s="5" t="n">
        <f aca="false">IF($K318="",0,LEN($K318)-LEN(SUBSTITUTE($K318,",",""))+1)</f>
        <v>1</v>
      </c>
      <c r="M318" s="5" t="s">
        <v>35</v>
      </c>
      <c r="N318" s="5" t="str">
        <f aca="false">TRIM($A318&amp;" "&amp;IF($C318="",$R318,$C318&amp;" "&amp;$D318&amp;" "&amp;$E318&amp;" "&amp;$F318))</f>
        <v>Mcscrooge'S Wine &amp; Spirits 307 N. Peters Rd. Knoxville TN 37922</v>
      </c>
      <c r="O318" s="5" t="str">
        <f aca="false">IF($P318&lt;&gt;"","Exclude",IF(AND($M318&lt;&gt;"Full address",$R318=""),"Needs address",IF($J318&lt;0.5,"Hold - low volume",IF(LEFT($W318,3)="Low","Verify address",IF($G318="Needs review","Needs premise review",IF($X318="Estimated","Ready - address estimated","Ready"))))))</f>
        <v>Ready</v>
      </c>
      <c r="P318" s="5"/>
      <c r="Q318" s="5" t="s">
        <v>380</v>
      </c>
      <c r="R318" s="5"/>
      <c r="S318" s="5"/>
      <c r="T318" s="7"/>
      <c r="U318" s="7"/>
      <c r="V318" s="5"/>
      <c r="W318" s="5"/>
      <c r="X318" s="5" t="s">
        <v>37</v>
      </c>
      <c r="Y318" s="8" t="str">
        <f aca="false">IF($C318&lt;&gt;"",TRIM($C318&amp;", "&amp;$D318&amp;", "&amp;$E318&amp;" "&amp;$F318),IF($R318&lt;&gt;"",$R318,IF($D318&lt;&gt;"",$D318&amp;", "&amp;$E318,$I318)))</f>
        <v>307 N. Peters Rd., Knoxville, TN 37922</v>
      </c>
    </row>
    <row r="319" customFormat="false" ht="15" hidden="false" customHeight="true" outlineLevel="0" collapsed="false">
      <c r="A319" s="5" t="s">
        <v>1204</v>
      </c>
      <c r="B319" s="5" t="s">
        <v>1204</v>
      </c>
      <c r="C319" s="5" t="s">
        <v>1205</v>
      </c>
      <c r="D319" s="5" t="s">
        <v>1206</v>
      </c>
      <c r="E319" s="5" t="s">
        <v>375</v>
      </c>
      <c r="F319" s="5" t="s">
        <v>1207</v>
      </c>
      <c r="G319" s="5" t="s">
        <v>31</v>
      </c>
      <c r="H319" s="5" t="s">
        <v>378</v>
      </c>
      <c r="I319" s="5" t="s">
        <v>379</v>
      </c>
      <c r="J319" s="6" t="n">
        <v>1</v>
      </c>
      <c r="K319" s="5" t="s">
        <v>76</v>
      </c>
      <c r="L319" s="5" t="n">
        <f aca="false">IF($K319="",0,LEN($K319)-LEN(SUBSTITUTE($K319,",",""))+1)</f>
        <v>1</v>
      </c>
      <c r="M319" s="5" t="s">
        <v>35</v>
      </c>
      <c r="N319" s="5" t="str">
        <f aca="false">TRIM($A319&amp;" "&amp;IF($C319="",$R319,$C319&amp;" "&amp;$D319&amp;" "&amp;$E319&amp;" "&amp;$F319))</f>
        <v>Park Liquor 1235 East Parkway Gatlinburg TN 37738</v>
      </c>
      <c r="O319" s="5" t="str">
        <f aca="false">IF($P319&lt;&gt;"","Exclude",IF(AND($M319&lt;&gt;"Full address",$R319=""),"Needs address",IF($J319&lt;0.5,"Hold - low volume",IF(LEFT($W319,3)="Low","Verify address",IF($G319="Needs review","Needs premise review",IF($X319="Estimated","Ready - address estimated","Ready"))))))</f>
        <v>Ready</v>
      </c>
      <c r="P319" s="5"/>
      <c r="Q319" s="5" t="s">
        <v>380</v>
      </c>
      <c r="R319" s="5"/>
      <c r="S319" s="5"/>
      <c r="T319" s="7"/>
      <c r="U319" s="7"/>
      <c r="V319" s="5"/>
      <c r="W319" s="5"/>
      <c r="X319" s="5" t="s">
        <v>37</v>
      </c>
      <c r="Y319" s="8" t="str">
        <f aca="false">IF($C319&lt;&gt;"",TRIM($C319&amp;", "&amp;$D319&amp;", "&amp;$E319&amp;" "&amp;$F319),IF($R319&lt;&gt;"",$R319,IF($D319&lt;&gt;"",$D319&amp;", "&amp;$E319,$I319)))</f>
        <v>1235 East Parkway, Gatlinburg, TN 37738</v>
      </c>
    </row>
    <row r="320" customFormat="false" ht="15" hidden="false" customHeight="true" outlineLevel="0" collapsed="false">
      <c r="A320" s="5" t="s">
        <v>1208</v>
      </c>
      <c r="B320" s="5" t="s">
        <v>1208</v>
      </c>
      <c r="C320" s="5" t="s">
        <v>1209</v>
      </c>
      <c r="D320" s="5" t="s">
        <v>1210</v>
      </c>
      <c r="E320" s="5" t="s">
        <v>375</v>
      </c>
      <c r="F320" s="5" t="s">
        <v>1211</v>
      </c>
      <c r="G320" s="5" t="s">
        <v>31</v>
      </c>
      <c r="H320" s="5" t="s">
        <v>378</v>
      </c>
      <c r="I320" s="5" t="s">
        <v>379</v>
      </c>
      <c r="J320" s="6" t="n">
        <v>1</v>
      </c>
      <c r="K320" s="5" t="s">
        <v>76</v>
      </c>
      <c r="L320" s="5" t="n">
        <f aca="false">IF($K320="",0,LEN($K320)-LEN(SUBSTITUTE($K320,",",""))+1)</f>
        <v>1</v>
      </c>
      <c r="M320" s="5" t="s">
        <v>35</v>
      </c>
      <c r="N320" s="5" t="str">
        <f aca="false">TRIM($A320&amp;" "&amp;IF($C320="",$R320,$C320&amp;" "&amp;$D320&amp;" "&amp;$E320&amp;" "&amp;$F320))</f>
        <v>Plaza Package Store 4471 N. Roan St. Johnson City TN 37615</v>
      </c>
      <c r="O320" s="5" t="str">
        <f aca="false">IF($P320&lt;&gt;"","Exclude",IF(AND($M320&lt;&gt;"Full address",$R320=""),"Needs address",IF($J320&lt;0.5,"Hold - low volume",IF(LEFT($W320,3)="Low","Verify address",IF($G320="Needs review","Needs premise review",IF($X320="Estimated","Ready - address estimated","Ready"))))))</f>
        <v>Ready</v>
      </c>
      <c r="P320" s="5"/>
      <c r="Q320" s="5" t="s">
        <v>380</v>
      </c>
      <c r="R320" s="5"/>
      <c r="S320" s="5"/>
      <c r="T320" s="7"/>
      <c r="U320" s="7"/>
      <c r="V320" s="5"/>
      <c r="W320" s="5"/>
      <c r="X320" s="5" t="s">
        <v>37</v>
      </c>
      <c r="Y320" s="8" t="str">
        <f aca="false">IF($C320&lt;&gt;"",TRIM($C320&amp;", "&amp;$D320&amp;", "&amp;$E320&amp;" "&amp;$F320),IF($R320&lt;&gt;"",$R320,IF($D320&lt;&gt;"",$D320&amp;", "&amp;$E320,$I320)))</f>
        <v>4471 N. Roan St., Johnson City, TN 37615</v>
      </c>
    </row>
    <row r="321" customFormat="false" ht="15" hidden="false" customHeight="true" outlineLevel="0" collapsed="false">
      <c r="A321" s="5" t="s">
        <v>1212</v>
      </c>
      <c r="B321" s="5" t="s">
        <v>1212</v>
      </c>
      <c r="C321" s="5" t="s">
        <v>1213</v>
      </c>
      <c r="D321" s="5" t="s">
        <v>1193</v>
      </c>
      <c r="E321" s="5" t="s">
        <v>375</v>
      </c>
      <c r="F321" s="5" t="s">
        <v>1214</v>
      </c>
      <c r="G321" s="5" t="s">
        <v>31</v>
      </c>
      <c r="H321" s="5" t="s">
        <v>378</v>
      </c>
      <c r="I321" s="5" t="s">
        <v>379</v>
      </c>
      <c r="J321" s="6" t="n">
        <v>1</v>
      </c>
      <c r="K321" s="5" t="s">
        <v>76</v>
      </c>
      <c r="L321" s="5" t="n">
        <f aca="false">IF($K321="",0,LEN($K321)-LEN(SUBSTITUTE($K321,",",""))+1)</f>
        <v>1</v>
      </c>
      <c r="M321" s="5" t="s">
        <v>35</v>
      </c>
      <c r="N321" s="5" t="str">
        <f aca="false">TRIM($A321&amp;" "&amp;IF($C321="",$R321,$C321&amp;" "&amp;$D321&amp;" "&amp;$E321&amp;" "&amp;$F321))</f>
        <v>Riverside Wine &amp; Spirits 600 Manufacturers Rd. Chattanooga TN 37405</v>
      </c>
      <c r="O321" s="5" t="str">
        <f aca="false">IF($P321&lt;&gt;"","Exclude",IF(AND($M321&lt;&gt;"Full address",$R321=""),"Needs address",IF($J321&lt;0.5,"Hold - low volume",IF(LEFT($W321,3)="Low","Verify address",IF($G321="Needs review","Needs premise review",IF($X321="Estimated","Ready - address estimated","Ready"))))))</f>
        <v>Ready</v>
      </c>
      <c r="P321" s="5"/>
      <c r="Q321" s="5" t="s">
        <v>380</v>
      </c>
      <c r="R321" s="5"/>
      <c r="S321" s="5"/>
      <c r="T321" s="7"/>
      <c r="U321" s="7"/>
      <c r="V321" s="5"/>
      <c r="W321" s="5"/>
      <c r="X321" s="5" t="s">
        <v>37</v>
      </c>
      <c r="Y321" s="8" t="str">
        <f aca="false">IF($C321&lt;&gt;"",TRIM($C321&amp;", "&amp;$D321&amp;", "&amp;$E321&amp;" "&amp;$F321),IF($R321&lt;&gt;"",$R321,IF($D321&lt;&gt;"",$D321&amp;", "&amp;$E321,$I321)))</f>
        <v>600 Manufacturers Rd., Chattanooga, TN 37405</v>
      </c>
    </row>
    <row r="322" customFormat="false" ht="15" hidden="false" customHeight="true" outlineLevel="0" collapsed="false">
      <c r="A322" s="5" t="s">
        <v>1215</v>
      </c>
      <c r="B322" s="5" t="s">
        <v>1215</v>
      </c>
      <c r="C322" s="5" t="s">
        <v>1216</v>
      </c>
      <c r="D322" s="5" t="s">
        <v>1217</v>
      </c>
      <c r="E322" s="5" t="s">
        <v>375</v>
      </c>
      <c r="F322" s="5" t="s">
        <v>1218</v>
      </c>
      <c r="G322" s="5" t="s">
        <v>31</v>
      </c>
      <c r="H322" s="5" t="s">
        <v>378</v>
      </c>
      <c r="I322" s="5" t="s">
        <v>379</v>
      </c>
      <c r="J322" s="6" t="n">
        <v>1</v>
      </c>
      <c r="K322" s="5" t="s">
        <v>76</v>
      </c>
      <c r="L322" s="5" t="n">
        <f aca="false">IF($K322="",0,LEN($K322)-LEN(SUBSTITUTE($K322,",",""))+1)</f>
        <v>1</v>
      </c>
      <c r="M322" s="5" t="s">
        <v>35</v>
      </c>
      <c r="N322" s="5" t="str">
        <f aca="false">TRIM($A322&amp;" "&amp;IF($C322="",$R322,$C322&amp;" "&amp;$D322&amp;" "&amp;$E322&amp;" "&amp;$F322))</f>
        <v>Sharps Package Store 1451 North Broad Street Tazewell TN 37879</v>
      </c>
      <c r="O322" s="5" t="str">
        <f aca="false">IF($P322&lt;&gt;"","Exclude",IF(AND($M322&lt;&gt;"Full address",$R322=""),"Needs address",IF($J322&lt;0.5,"Hold - low volume",IF(LEFT($W322,3)="Low","Verify address",IF($G322="Needs review","Needs premise review",IF($X322="Estimated","Ready - address estimated","Ready"))))))</f>
        <v>Ready</v>
      </c>
      <c r="P322" s="5"/>
      <c r="Q322" s="5" t="s">
        <v>380</v>
      </c>
      <c r="R322" s="5"/>
      <c r="S322" s="5"/>
      <c r="T322" s="7"/>
      <c r="U322" s="7"/>
      <c r="V322" s="5"/>
      <c r="W322" s="5"/>
      <c r="X322" s="5" t="s">
        <v>37</v>
      </c>
      <c r="Y322" s="8" t="str">
        <f aca="false">IF($C322&lt;&gt;"",TRIM($C322&amp;", "&amp;$D322&amp;", "&amp;$E322&amp;" "&amp;$F322),IF($R322&lt;&gt;"",$R322,IF($D322&lt;&gt;"",$D322&amp;", "&amp;$E322,$I322)))</f>
        <v>1451 North Broad Street, Tazewell, TN 37879</v>
      </c>
    </row>
    <row r="323" customFormat="false" ht="15" hidden="false" customHeight="true" outlineLevel="0" collapsed="false">
      <c r="A323" s="5" t="s">
        <v>1219</v>
      </c>
      <c r="B323" s="5" t="s">
        <v>1219</v>
      </c>
      <c r="C323" s="5" t="s">
        <v>1220</v>
      </c>
      <c r="D323" s="5" t="s">
        <v>1221</v>
      </c>
      <c r="E323" s="5" t="s">
        <v>375</v>
      </c>
      <c r="F323" s="5" t="s">
        <v>1222</v>
      </c>
      <c r="G323" s="5" t="s">
        <v>31</v>
      </c>
      <c r="H323" s="5" t="s">
        <v>378</v>
      </c>
      <c r="I323" s="5" t="s">
        <v>379</v>
      </c>
      <c r="J323" s="6" t="n">
        <v>1</v>
      </c>
      <c r="K323" s="5" t="s">
        <v>76</v>
      </c>
      <c r="L323" s="5" t="n">
        <f aca="false">IF($K323="",0,LEN($K323)-LEN(SUBSTITUTE($K323,",",""))+1)</f>
        <v>1</v>
      </c>
      <c r="M323" s="5" t="s">
        <v>35</v>
      </c>
      <c r="N323" s="5" t="str">
        <f aca="false">TRIM($A323&amp;" "&amp;IF($C323="",$R323,$C323&amp;" "&amp;$D323&amp;" "&amp;$E323&amp;" "&amp;$F323))</f>
        <v>Snow Hill Wine And Spirits 5958 Snowhill Road Ooltewah TN 37363</v>
      </c>
      <c r="O323" s="5" t="str">
        <f aca="false">IF($P323&lt;&gt;"","Exclude",IF(AND($M323&lt;&gt;"Full address",$R323=""),"Needs address",IF($J323&lt;0.5,"Hold - low volume",IF(LEFT($W323,3)="Low","Verify address",IF($G323="Needs review","Needs premise review",IF($X323="Estimated","Ready - address estimated","Ready"))))))</f>
        <v>Ready</v>
      </c>
      <c r="P323" s="5"/>
      <c r="Q323" s="5" t="s">
        <v>380</v>
      </c>
      <c r="R323" s="5"/>
      <c r="S323" s="5"/>
      <c r="T323" s="7"/>
      <c r="U323" s="7"/>
      <c r="V323" s="5"/>
      <c r="W323" s="5"/>
      <c r="X323" s="5" t="s">
        <v>37</v>
      </c>
      <c r="Y323" s="8" t="str">
        <f aca="false">IF($C323&lt;&gt;"",TRIM($C323&amp;", "&amp;$D323&amp;", "&amp;$E323&amp;" "&amp;$F323),IF($R323&lt;&gt;"",$R323,IF($D323&lt;&gt;"",$D323&amp;", "&amp;$E323,$I323)))</f>
        <v>5958 Snowhill Road, Ooltewah, TN 37363</v>
      </c>
    </row>
    <row r="324" customFormat="false" ht="15" hidden="false" customHeight="true" outlineLevel="0" collapsed="false">
      <c r="A324" s="5" t="s">
        <v>1223</v>
      </c>
      <c r="B324" s="5" t="s">
        <v>1223</v>
      </c>
      <c r="C324" s="5" t="s">
        <v>1224</v>
      </c>
      <c r="D324" s="5" t="s">
        <v>1185</v>
      </c>
      <c r="E324" s="5" t="s">
        <v>375</v>
      </c>
      <c r="F324" s="5" t="s">
        <v>1225</v>
      </c>
      <c r="G324" s="5" t="s">
        <v>31</v>
      </c>
      <c r="H324" s="5" t="s">
        <v>378</v>
      </c>
      <c r="I324" s="5" t="s">
        <v>379</v>
      </c>
      <c r="J324" s="6" t="n">
        <v>1</v>
      </c>
      <c r="K324" s="5" t="s">
        <v>76</v>
      </c>
      <c r="L324" s="5" t="n">
        <f aca="false">IF($K324="",0,LEN($K324)-LEN(SUBSTITUTE($K324,",",""))+1)</f>
        <v>1</v>
      </c>
      <c r="M324" s="5" t="s">
        <v>35</v>
      </c>
      <c r="N324" s="5" t="str">
        <f aca="false">TRIM($A324&amp;" "&amp;IF($C324="",$R324,$C324&amp;" "&amp;$D324&amp;" "&amp;$E324&amp;" "&amp;$F324))</f>
        <v>Toddy'S Liquor Store 4821 Kingston Pike Knoxville TN 37919</v>
      </c>
      <c r="O324" s="5" t="str">
        <f aca="false">IF($P324&lt;&gt;"","Exclude",IF(AND($M324&lt;&gt;"Full address",$R324=""),"Needs address",IF($J324&lt;0.5,"Hold - low volume",IF(LEFT($W324,3)="Low","Verify address",IF($G324="Needs review","Needs premise review",IF($X324="Estimated","Ready - address estimated","Ready"))))))</f>
        <v>Ready</v>
      </c>
      <c r="P324" s="5"/>
      <c r="Q324" s="5" t="s">
        <v>380</v>
      </c>
      <c r="R324" s="5"/>
      <c r="S324" s="5"/>
      <c r="T324" s="7"/>
      <c r="U324" s="7"/>
      <c r="V324" s="5"/>
      <c r="W324" s="5"/>
      <c r="X324" s="5" t="s">
        <v>37</v>
      </c>
      <c r="Y324" s="8" t="str">
        <f aca="false">IF($C324&lt;&gt;"",TRIM($C324&amp;", "&amp;$D324&amp;", "&amp;$E324&amp;" "&amp;$F324),IF($R324&lt;&gt;"",$R324,IF($D324&lt;&gt;"",$D324&amp;", "&amp;$E324,$I324)))</f>
        <v>4821 Kingston Pike, Knoxville, TN 37919</v>
      </c>
    </row>
    <row r="325" customFormat="false" ht="15" hidden="false" customHeight="true" outlineLevel="0" collapsed="false">
      <c r="A325" s="5" t="s">
        <v>1226</v>
      </c>
      <c r="B325" s="5" t="s">
        <v>1226</v>
      </c>
      <c r="C325" s="5" t="s">
        <v>1227</v>
      </c>
      <c r="D325" s="5" t="s">
        <v>1228</v>
      </c>
      <c r="E325" s="5" t="s">
        <v>375</v>
      </c>
      <c r="F325" s="5" t="s">
        <v>1229</v>
      </c>
      <c r="G325" s="5" t="s">
        <v>31</v>
      </c>
      <c r="H325" s="5" t="s">
        <v>378</v>
      </c>
      <c r="I325" s="5" t="s">
        <v>379</v>
      </c>
      <c r="J325" s="6" t="n">
        <v>1</v>
      </c>
      <c r="K325" s="5" t="s">
        <v>76</v>
      </c>
      <c r="L325" s="5" t="n">
        <f aca="false">IF($K325="",0,LEN($K325)-LEN(SUBSTITUTE($K325,",",""))+1)</f>
        <v>1</v>
      </c>
      <c r="M325" s="5" t="s">
        <v>35</v>
      </c>
      <c r="N325" s="5" t="str">
        <f aca="false">TRIM($A325&amp;" "&amp;IF($C325="",$R325,$C325&amp;" "&amp;$D325&amp;" "&amp;$E325&amp;" "&amp;$F325))</f>
        <v>Top Shelf Wine &amp; Spirits 1764 Buffalo Trail Morristown TN 37814</v>
      </c>
      <c r="O325" s="5" t="str">
        <f aca="false">IF($P325&lt;&gt;"","Exclude",IF(AND($M325&lt;&gt;"Full address",$R325=""),"Needs address",IF($J325&lt;0.5,"Hold - low volume",IF(LEFT($W325,3)="Low","Verify address",IF($G325="Needs review","Needs premise review",IF($X325="Estimated","Ready - address estimated","Ready"))))))</f>
        <v>Ready</v>
      </c>
      <c r="P325" s="5"/>
      <c r="Q325" s="5" t="s">
        <v>380</v>
      </c>
      <c r="R325" s="5"/>
      <c r="S325" s="5"/>
      <c r="T325" s="7"/>
      <c r="U325" s="7"/>
      <c r="V325" s="5"/>
      <c r="W325" s="5"/>
      <c r="X325" s="5" t="s">
        <v>37</v>
      </c>
      <c r="Y325" s="8" t="str">
        <f aca="false">IF($C325&lt;&gt;"",TRIM($C325&amp;", "&amp;$D325&amp;", "&amp;$E325&amp;" "&amp;$F325),IF($R325&lt;&gt;"",$R325,IF($D325&lt;&gt;"",$D325&amp;", "&amp;$E325,$I325)))</f>
        <v>1764 Buffalo Trail, Morristown, TN 37814</v>
      </c>
    </row>
    <row r="326" customFormat="false" ht="15" hidden="false" customHeight="true" outlineLevel="0" collapsed="false">
      <c r="A326" s="5" t="s">
        <v>1230</v>
      </c>
      <c r="B326" s="5" t="s">
        <v>1230</v>
      </c>
      <c r="C326" s="5" t="s">
        <v>1231</v>
      </c>
      <c r="D326" s="5" t="s">
        <v>1193</v>
      </c>
      <c r="E326" s="5" t="s">
        <v>375</v>
      </c>
      <c r="F326" s="5" t="s">
        <v>1232</v>
      </c>
      <c r="G326" s="5" t="s">
        <v>31</v>
      </c>
      <c r="H326" s="5" t="s">
        <v>378</v>
      </c>
      <c r="I326" s="5" t="s">
        <v>379</v>
      </c>
      <c r="J326" s="6" t="n">
        <v>1</v>
      </c>
      <c r="K326" s="5" t="s">
        <v>76</v>
      </c>
      <c r="L326" s="5" t="n">
        <f aca="false">IF($K326="",0,LEN($K326)-LEN(SUBSTITUTE($K326,",",""))+1)</f>
        <v>1</v>
      </c>
      <c r="M326" s="5" t="s">
        <v>35</v>
      </c>
      <c r="N326" s="5" t="str">
        <f aca="false">TRIM($A326&amp;" "&amp;IF($C326="",$R326,$C326&amp;" "&amp;$D326&amp;" "&amp;$E326&amp;" "&amp;$F326))</f>
        <v>Valley Wine &amp; Spirits 3548 Cummings Highway Chattanooga TN 37419</v>
      </c>
      <c r="O326" s="5" t="str">
        <f aca="false">IF($P326&lt;&gt;"","Exclude",IF(AND($M326&lt;&gt;"Full address",$R326=""),"Needs address",IF($J326&lt;0.5,"Hold - low volume",IF(LEFT($W326,3)="Low","Verify address",IF($G326="Needs review","Needs premise review",IF($X326="Estimated","Ready - address estimated","Ready"))))))</f>
        <v>Ready</v>
      </c>
      <c r="P326" s="5"/>
      <c r="Q326" s="5" t="s">
        <v>380</v>
      </c>
      <c r="R326" s="5"/>
      <c r="S326" s="5"/>
      <c r="T326" s="7"/>
      <c r="U326" s="7"/>
      <c r="V326" s="5"/>
      <c r="W326" s="5"/>
      <c r="X326" s="5" t="s">
        <v>37</v>
      </c>
      <c r="Y326" s="8" t="str">
        <f aca="false">IF($C326&lt;&gt;"",TRIM($C326&amp;", "&amp;$D326&amp;", "&amp;$E326&amp;" "&amp;$F326),IF($R326&lt;&gt;"",$R326,IF($D326&lt;&gt;"",$D326&amp;", "&amp;$E326,$I326)))</f>
        <v>3548 Cummings Highway, Chattanooga, TN 37419</v>
      </c>
    </row>
    <row r="327" customFormat="false" ht="15" hidden="false" customHeight="true" outlineLevel="0" collapsed="false">
      <c r="A327" s="5" t="s">
        <v>1233</v>
      </c>
      <c r="B327" s="5" t="s">
        <v>1233</v>
      </c>
      <c r="C327" s="5"/>
      <c r="D327" s="5" t="s">
        <v>1234</v>
      </c>
      <c r="E327" s="5" t="s">
        <v>40</v>
      </c>
      <c r="F327" s="5"/>
      <c r="G327" s="5" t="s">
        <v>31</v>
      </c>
      <c r="H327" s="5" t="s">
        <v>157</v>
      </c>
      <c r="I327" s="5" t="s">
        <v>42</v>
      </c>
      <c r="J327" s="6" t="n">
        <v>1</v>
      </c>
      <c r="K327" s="5" t="s">
        <v>76</v>
      </c>
      <c r="L327" s="5" t="n">
        <f aca="false">IF($K327="",0,LEN($K327)-LEN(SUBSTITUTE($K327,",",""))+1)</f>
        <v>1</v>
      </c>
      <c r="M327" s="5" t="s">
        <v>44</v>
      </c>
      <c r="N327" s="5" t="str">
        <f aca="false">TRIM($A327&amp;" "&amp;IF($C327="",$R327,$C327&amp;" "&amp;$D327&amp;" "&amp;$E327&amp;" "&amp;$F327))</f>
        <v>BOOM OR BUST LIQUORS</v>
      </c>
      <c r="O327" s="5" t="str">
        <f aca="false">IF($P327&lt;&gt;"","Exclude",IF(AND($M327&lt;&gt;"Full address",$R327=""),"Needs address",IF($J327&lt;0.5,"Hold - low volume",IF(LEFT($W327,3)="Low","Verify address",IF($G327="Needs review","Needs premise review",IF($X327="Estimated","Ready - address estimated","Ready"))))))</f>
        <v>Needs address</v>
      </c>
      <c r="P327" s="5"/>
      <c r="Q327" s="5" t="s">
        <v>45</v>
      </c>
      <c r="R327" s="5"/>
      <c r="S327" s="5"/>
      <c r="T327" s="7"/>
      <c r="U327" s="7"/>
      <c r="V327" s="5"/>
      <c r="W327" s="5"/>
      <c r="X327" s="5" t="s">
        <v>3</v>
      </c>
      <c r="Y327" s="8" t="str">
        <f aca="false">IF($C327&lt;&gt;"",TRIM($C327&amp;", "&amp;$D327&amp;", "&amp;$E327&amp;" "&amp;$F327),IF($R327&lt;&gt;"",$R327,IF($D327&lt;&gt;"",$D327&amp;", "&amp;$E327,$I327)))</f>
        <v>Midland, TX</v>
      </c>
    </row>
    <row r="328" customFormat="false" ht="15" hidden="false" customHeight="true" outlineLevel="0" collapsed="false">
      <c r="A328" s="5" t="s">
        <v>1235</v>
      </c>
      <c r="B328" s="5" t="s">
        <v>1235</v>
      </c>
      <c r="C328" s="5"/>
      <c r="D328" s="5" t="s">
        <v>1236</v>
      </c>
      <c r="E328" s="5" t="s">
        <v>40</v>
      </c>
      <c r="F328" s="5"/>
      <c r="G328" s="5" t="s">
        <v>144</v>
      </c>
      <c r="H328" s="5" t="s">
        <v>41</v>
      </c>
      <c r="I328" s="5" t="s">
        <v>42</v>
      </c>
      <c r="J328" s="6" t="n">
        <v>1</v>
      </c>
      <c r="K328" s="5" t="s">
        <v>76</v>
      </c>
      <c r="L328" s="5" t="n">
        <f aca="false">IF($K328="",0,LEN($K328)-LEN(SUBSTITUTE($K328,",",""))+1)</f>
        <v>1</v>
      </c>
      <c r="M328" s="5" t="s">
        <v>44</v>
      </c>
      <c r="N328" s="5" t="str">
        <f aca="false">TRIM($A328&amp;" "&amp;IF($C328="",$R328,$C328&amp;" "&amp;$D328&amp;" "&amp;$E328&amp;" "&amp;$F328))</f>
        <v>Barrel Craft Lewisville</v>
      </c>
      <c r="O328" s="5" t="str">
        <f aca="false">IF($P328&lt;&gt;"","Exclude",IF(AND($M328&lt;&gt;"Full address",$R328=""),"Needs address",IF($J328&lt;0.5,"Hold - low volume",IF(LEFT($W328,3)="Low","Verify address",IF($G328="Needs review","Needs premise review",IF($X328="Estimated","Ready - address estimated","Ready"))))))</f>
        <v>Needs address</v>
      </c>
      <c r="P328" s="5"/>
      <c r="Q328" s="5" t="s">
        <v>45</v>
      </c>
      <c r="R328" s="5"/>
      <c r="S328" s="5"/>
      <c r="T328" s="7"/>
      <c r="U328" s="7"/>
      <c r="V328" s="5"/>
      <c r="W328" s="5"/>
      <c r="X328" s="5" t="s">
        <v>3</v>
      </c>
      <c r="Y328" s="8" t="str">
        <f aca="false">IF($C328&lt;&gt;"",TRIM($C328&amp;", "&amp;$D328&amp;", "&amp;$E328&amp;" "&amp;$F328),IF($R328&lt;&gt;"",$R328,IF($D328&lt;&gt;"",$D328&amp;", "&amp;$E328,$I328)))</f>
        <v>Lewisville, TX</v>
      </c>
    </row>
    <row r="329" customFormat="false" ht="15" hidden="false" customHeight="true" outlineLevel="0" collapsed="false">
      <c r="A329" s="5" t="s">
        <v>1237</v>
      </c>
      <c r="B329" s="5" t="s">
        <v>1237</v>
      </c>
      <c r="C329" s="5"/>
      <c r="D329" s="5" t="s">
        <v>1238</v>
      </c>
      <c r="E329" s="5" t="s">
        <v>40</v>
      </c>
      <c r="F329" s="5"/>
      <c r="G329" s="5" t="s">
        <v>31</v>
      </c>
      <c r="H329" s="5" t="s">
        <v>157</v>
      </c>
      <c r="I329" s="5" t="s">
        <v>42</v>
      </c>
      <c r="J329" s="6" t="n">
        <v>1</v>
      </c>
      <c r="K329" s="5" t="s">
        <v>76</v>
      </c>
      <c r="L329" s="5" t="n">
        <f aca="false">IF($K329="",0,LEN($K329)-LEN(SUBSTITUTE($K329,",",""))+1)</f>
        <v>1</v>
      </c>
      <c r="M329" s="5" t="s">
        <v>44</v>
      </c>
      <c r="N329" s="5" t="str">
        <f aca="false">TRIM($A329&amp;" "&amp;IF($C329="",$R329,$C329&amp;" "&amp;$D329&amp;" "&amp;$E329&amp;" "&amp;$F329))</f>
        <v>Big Bottle Liquor Store #2</v>
      </c>
      <c r="O329" s="5" t="str">
        <f aca="false">IF($P329&lt;&gt;"","Exclude",IF(AND($M329&lt;&gt;"Full address",$R329=""),"Needs address",IF($J329&lt;0.5,"Hold - low volume",IF(LEFT($W329,3)="Low","Verify address",IF($G329="Needs review","Needs premise review",IF($X329="Estimated","Ready - address estimated","Ready"))))))</f>
        <v>Needs address</v>
      </c>
      <c r="P329" s="5"/>
      <c r="Q329" s="5" t="s">
        <v>45</v>
      </c>
      <c r="R329" s="5"/>
      <c r="S329" s="5"/>
      <c r="T329" s="7"/>
      <c r="U329" s="7"/>
      <c r="V329" s="5"/>
      <c r="W329" s="5"/>
      <c r="X329" s="5" t="s">
        <v>3</v>
      </c>
      <c r="Y329" s="8" t="str">
        <f aca="false">IF($C329&lt;&gt;"",TRIM($C329&amp;", "&amp;$D329&amp;", "&amp;$E329&amp;" "&amp;$F329),IF($R329&lt;&gt;"",$R329,IF($D329&lt;&gt;"",$D329&amp;", "&amp;$E329,$I329)))</f>
        <v>Missouri City, TX</v>
      </c>
    </row>
    <row r="330" customFormat="false" ht="15" hidden="false" customHeight="true" outlineLevel="0" collapsed="false">
      <c r="A330" s="5" t="s">
        <v>1239</v>
      </c>
      <c r="B330" s="5" t="s">
        <v>1239</v>
      </c>
      <c r="C330" s="5"/>
      <c r="D330" s="5" t="s">
        <v>1240</v>
      </c>
      <c r="E330" s="5" t="s">
        <v>40</v>
      </c>
      <c r="F330" s="5"/>
      <c r="G330" s="5" t="s">
        <v>31</v>
      </c>
      <c r="H330" s="5" t="s">
        <v>41</v>
      </c>
      <c r="I330" s="5" t="s">
        <v>42</v>
      </c>
      <c r="J330" s="6" t="n">
        <v>1</v>
      </c>
      <c r="K330" s="5" t="s">
        <v>469</v>
      </c>
      <c r="L330" s="5" t="n">
        <f aca="false">IF($K330="",0,LEN($K330)-LEN(SUBSTITUTE($K330,",",""))+1)</f>
        <v>1</v>
      </c>
      <c r="M330" s="5" t="s">
        <v>44</v>
      </c>
      <c r="N330" s="5" t="str">
        <f aca="false">TRIM($A330&amp;" "&amp;IF($C330="",$R330,$C330&amp;" "&amp;$D330&amp;" "&amp;$E330&amp;" "&amp;$F330))</f>
        <v>Black Tie Liquors #2</v>
      </c>
      <c r="O330" s="5" t="str">
        <f aca="false">IF($P330&lt;&gt;"","Exclude",IF(AND($M330&lt;&gt;"Full address",$R330=""),"Needs address",IF($J330&lt;0.5,"Hold - low volume",IF(LEFT($W330,3)="Low","Verify address",IF($G330="Needs review","Needs premise review",IF($X330="Estimated","Ready - address estimated","Ready"))))))</f>
        <v>Needs address</v>
      </c>
      <c r="P330" s="5"/>
      <c r="Q330" s="5" t="s">
        <v>45</v>
      </c>
      <c r="R330" s="5"/>
      <c r="S330" s="5"/>
      <c r="T330" s="7"/>
      <c r="U330" s="7"/>
      <c r="V330" s="5"/>
      <c r="W330" s="5"/>
      <c r="X330" s="5" t="s">
        <v>3</v>
      </c>
      <c r="Y330" s="8" t="str">
        <f aca="false">IF($C330&lt;&gt;"",TRIM($C330&amp;", "&amp;$D330&amp;", "&amp;$E330&amp;" "&amp;$F330),IF($R330&lt;&gt;"",$R330,IF($D330&lt;&gt;"",$D330&amp;", "&amp;$E330,$I330)))</f>
        <v>Aubrey, TX</v>
      </c>
    </row>
    <row r="331" customFormat="false" ht="15" hidden="false" customHeight="true" outlineLevel="0" collapsed="false">
      <c r="A331" s="5" t="s">
        <v>1241</v>
      </c>
      <c r="B331" s="5" t="s">
        <v>1241</v>
      </c>
      <c r="C331" s="5"/>
      <c r="D331" s="5" t="s">
        <v>349</v>
      </c>
      <c r="E331" s="5" t="s">
        <v>40</v>
      </c>
      <c r="F331" s="5"/>
      <c r="G331" s="5" t="s">
        <v>31</v>
      </c>
      <c r="H331" s="5" t="s">
        <v>41</v>
      </c>
      <c r="I331" s="5" t="s">
        <v>42</v>
      </c>
      <c r="J331" s="6" t="n">
        <v>1</v>
      </c>
      <c r="K331" s="5" t="s">
        <v>76</v>
      </c>
      <c r="L331" s="5" t="n">
        <f aca="false">IF($K331="",0,LEN($K331)-LEN(SUBSTITUTE($K331,",",""))+1)</f>
        <v>1</v>
      </c>
      <c r="M331" s="5" t="s">
        <v>44</v>
      </c>
      <c r="N331" s="5" t="str">
        <f aca="false">TRIM($A331&amp;" "&amp;IF($C331="",$R331,$C331&amp;" "&amp;$D331&amp;" "&amp;$E331&amp;" "&amp;$F331))</f>
        <v>Bluebonnet Liquors</v>
      </c>
      <c r="O331" s="5" t="str">
        <f aca="false">IF($P331&lt;&gt;"","Exclude",IF(AND($M331&lt;&gt;"Full address",$R331=""),"Needs address",IF($J331&lt;0.5,"Hold - low volume",IF(LEFT($W331,3)="Low","Verify address",IF($G331="Needs review","Needs premise review",IF($X331="Estimated","Ready - address estimated","Ready"))))))</f>
        <v>Needs address</v>
      </c>
      <c r="P331" s="5"/>
      <c r="Q331" s="5" t="s">
        <v>45</v>
      </c>
      <c r="R331" s="5"/>
      <c r="S331" s="5"/>
      <c r="T331" s="7"/>
      <c r="U331" s="7"/>
      <c r="V331" s="5"/>
      <c r="W331" s="5"/>
      <c r="X331" s="5" t="s">
        <v>3</v>
      </c>
      <c r="Y331" s="8" t="str">
        <f aca="false">IF($C331&lt;&gt;"",TRIM($C331&amp;", "&amp;$D331&amp;", "&amp;$E331&amp;" "&amp;$F331),IF($R331&lt;&gt;"",$R331,IF($D331&lt;&gt;"",$D331&amp;", "&amp;$E331,$I331)))</f>
        <v>Fort Worth, TX</v>
      </c>
    </row>
    <row r="332" customFormat="false" ht="15" hidden="false" customHeight="true" outlineLevel="0" collapsed="false">
      <c r="A332" s="5" t="s">
        <v>1242</v>
      </c>
      <c r="B332" s="5" t="s">
        <v>1242</v>
      </c>
      <c r="C332" s="5"/>
      <c r="D332" s="5" t="s">
        <v>313</v>
      </c>
      <c r="E332" s="5" t="s">
        <v>40</v>
      </c>
      <c r="F332" s="5"/>
      <c r="G332" s="5" t="s">
        <v>31</v>
      </c>
      <c r="H332" s="5" t="s">
        <v>41</v>
      </c>
      <c r="I332" s="5" t="s">
        <v>42</v>
      </c>
      <c r="J332" s="6" t="n">
        <v>1</v>
      </c>
      <c r="K332" s="5" t="s">
        <v>76</v>
      </c>
      <c r="L332" s="5" t="n">
        <f aca="false">IF($K332="",0,LEN($K332)-LEN(SUBSTITUTE($K332,",",""))+1)</f>
        <v>1</v>
      </c>
      <c r="M332" s="5" t="s">
        <v>44</v>
      </c>
      <c r="N332" s="5" t="str">
        <f aca="false">TRIM($A332&amp;" "&amp;IF($C332="",$R332,$C332&amp;" "&amp;$D332&amp;" "&amp;$E332&amp;" "&amp;$F332))</f>
        <v>Boo's Beverage Center</v>
      </c>
      <c r="O332" s="5" t="str">
        <f aca="false">IF($P332&lt;&gt;"","Exclude",IF(AND($M332&lt;&gt;"Full address",$R332=""),"Needs address",IF($J332&lt;0.5,"Hold - low volume",IF(LEFT($W332,3)="Low","Verify address",IF($G332="Needs review","Needs premise review",IF($X332="Estimated","Ready - address estimated","Ready"))))))</f>
        <v>Needs address</v>
      </c>
      <c r="P332" s="5"/>
      <c r="Q332" s="5" t="s">
        <v>45</v>
      </c>
      <c r="R332" s="5"/>
      <c r="S332" s="5"/>
      <c r="T332" s="7"/>
      <c r="U332" s="7"/>
      <c r="V332" s="5"/>
      <c r="W332" s="5"/>
      <c r="X332" s="5" t="s">
        <v>3</v>
      </c>
      <c r="Y332" s="8" t="str">
        <f aca="false">IF($C332&lt;&gt;"",TRIM($C332&amp;", "&amp;$D332&amp;", "&amp;$E332&amp;" "&amp;$F332),IF($R332&lt;&gt;"",$R332,IF($D332&lt;&gt;"",$D332&amp;", "&amp;$E332,$I332)))</f>
        <v>Terrell, TX</v>
      </c>
    </row>
    <row r="333" customFormat="false" ht="15" hidden="false" customHeight="true" outlineLevel="0" collapsed="false">
      <c r="A333" s="5" t="s">
        <v>1243</v>
      </c>
      <c r="B333" s="5" t="s">
        <v>1243</v>
      </c>
      <c r="C333" s="5"/>
      <c r="D333" s="5" t="s">
        <v>639</v>
      </c>
      <c r="E333" s="5" t="s">
        <v>40</v>
      </c>
      <c r="F333" s="5"/>
      <c r="G333" s="5" t="s">
        <v>31</v>
      </c>
      <c r="H333" s="5" t="s">
        <v>41</v>
      </c>
      <c r="I333" s="5" t="s">
        <v>42</v>
      </c>
      <c r="J333" s="6" t="n">
        <v>1</v>
      </c>
      <c r="K333" s="5" t="s">
        <v>426</v>
      </c>
      <c r="L333" s="5" t="n">
        <f aca="false">IF($K333="",0,LEN($K333)-LEN(SUBSTITUTE($K333,",",""))+1)</f>
        <v>1</v>
      </c>
      <c r="M333" s="5" t="s">
        <v>44</v>
      </c>
      <c r="N333" s="5" t="str">
        <f aca="false">TRIM($A333&amp;" "&amp;IF($C333="",$R333,$C333&amp;" "&amp;$D333&amp;" "&amp;$E333&amp;" "&amp;$F333))</f>
        <v>Cheers Wine &amp; Spirits (DFW)</v>
      </c>
      <c r="O333" s="5" t="str">
        <f aca="false">IF($P333&lt;&gt;"","Exclude",IF(AND($M333&lt;&gt;"Full address",$R333=""),"Needs address",IF($J333&lt;0.5,"Hold - low volume",IF(LEFT($W333,3)="Low","Verify address",IF($G333="Needs review","Needs premise review",IF($X333="Estimated","Ready - address estimated","Ready"))))))</f>
        <v>Needs address</v>
      </c>
      <c r="P333" s="5"/>
      <c r="Q333" s="5" t="s">
        <v>45</v>
      </c>
      <c r="R333" s="5"/>
      <c r="S333" s="5"/>
      <c r="T333" s="7"/>
      <c r="U333" s="7"/>
      <c r="V333" s="5"/>
      <c r="W333" s="5"/>
      <c r="X333" s="5" t="s">
        <v>3</v>
      </c>
      <c r="Y333" s="8" t="str">
        <f aca="false">IF($C333&lt;&gt;"",TRIM($C333&amp;", "&amp;$D333&amp;", "&amp;$E333&amp;" "&amp;$F333),IF($R333&lt;&gt;"",$R333,IF($D333&lt;&gt;"",$D333&amp;", "&amp;$E333,$I333)))</f>
        <v>Arlington, TX</v>
      </c>
    </row>
    <row r="334" customFormat="false" ht="15" hidden="false" customHeight="true" outlineLevel="0" collapsed="false">
      <c r="A334" s="5" t="s">
        <v>1244</v>
      </c>
      <c r="B334" s="5" t="s">
        <v>1244</v>
      </c>
      <c r="C334" s="5"/>
      <c r="D334" s="5" t="s">
        <v>1245</v>
      </c>
      <c r="E334" s="5" t="s">
        <v>40</v>
      </c>
      <c r="F334" s="5"/>
      <c r="G334" s="5" t="s">
        <v>31</v>
      </c>
      <c r="H334" s="5" t="s">
        <v>157</v>
      </c>
      <c r="I334" s="5" t="s">
        <v>42</v>
      </c>
      <c r="J334" s="6" t="n">
        <v>1</v>
      </c>
      <c r="K334" s="5" t="s">
        <v>1163</v>
      </c>
      <c r="L334" s="5" t="n">
        <f aca="false">IF($K334="",0,LEN($K334)-LEN(SUBSTITUTE($K334,",",""))+1)</f>
        <v>1</v>
      </c>
      <c r="M334" s="5" t="s">
        <v>44</v>
      </c>
      <c r="N334" s="5" t="str">
        <f aca="false">TRIM($A334&amp;" "&amp;IF($C334="",$R334,$C334&amp;" "&amp;$D334&amp;" "&amp;$E334&amp;" "&amp;$F334))</f>
        <v>County Line Store LLC</v>
      </c>
      <c r="O334" s="5" t="str">
        <f aca="false">IF($P334&lt;&gt;"","Exclude",IF(AND($M334&lt;&gt;"Full address",$R334=""),"Needs address",IF($J334&lt;0.5,"Hold - low volume",IF(LEFT($W334,3)="Low","Verify address",IF($G334="Needs review","Needs premise review",IF($X334="Estimated","Ready - address estimated","Ready"))))))</f>
        <v>Needs address</v>
      </c>
      <c r="P334" s="5"/>
      <c r="Q334" s="5" t="s">
        <v>45</v>
      </c>
      <c r="R334" s="5"/>
      <c r="S334" s="5"/>
      <c r="T334" s="7"/>
      <c r="U334" s="7"/>
      <c r="V334" s="5"/>
      <c r="W334" s="5"/>
      <c r="X334" s="5" t="s">
        <v>3</v>
      </c>
      <c r="Y334" s="8" t="str">
        <f aca="false">IF($C334&lt;&gt;"",TRIM($C334&amp;", "&amp;$D334&amp;", "&amp;$E334&amp;" "&amp;$F334),IF($R334&lt;&gt;"",$R334,IF($D334&lt;&gt;"",$D334&amp;", "&amp;$E334,$I334)))</f>
        <v>Canadian, TX</v>
      </c>
    </row>
    <row r="335" customFormat="false" ht="15" hidden="false" customHeight="true" outlineLevel="0" collapsed="false">
      <c r="A335" s="5" t="s">
        <v>1246</v>
      </c>
      <c r="B335" s="5" t="s">
        <v>1246</v>
      </c>
      <c r="C335" s="5"/>
      <c r="D335" s="5" t="s">
        <v>852</v>
      </c>
      <c r="E335" s="5" t="s">
        <v>40</v>
      </c>
      <c r="F335" s="5"/>
      <c r="G335" s="5" t="s">
        <v>31</v>
      </c>
      <c r="H335" s="5" t="s">
        <v>157</v>
      </c>
      <c r="I335" s="5" t="s">
        <v>42</v>
      </c>
      <c r="J335" s="6" t="n">
        <v>1</v>
      </c>
      <c r="K335" s="5" t="s">
        <v>426</v>
      </c>
      <c r="L335" s="5" t="n">
        <f aca="false">IF($K335="",0,LEN($K335)-LEN(SUBSTITUTE($K335,",",""))+1)</f>
        <v>1</v>
      </c>
      <c r="M335" s="5" t="s">
        <v>44</v>
      </c>
      <c r="N335" s="5" t="str">
        <f aca="false">TRIM($A335&amp;" "&amp;IF($C335="",$R335,$C335&amp;" "&amp;$D335&amp;" "&amp;$E335&amp;" "&amp;$F335))</f>
        <v>Crossed Key Package Store</v>
      </c>
      <c r="O335" s="5" t="str">
        <f aca="false">IF($P335&lt;&gt;"","Exclude",IF(AND($M335&lt;&gt;"Full address",$R335=""),"Needs address",IF($J335&lt;0.5,"Hold - low volume",IF(LEFT($W335,3)="Low","Verify address",IF($G335="Needs review","Needs premise review",IF($X335="Estimated","Ready - address estimated","Ready"))))))</f>
        <v>Needs address</v>
      </c>
      <c r="P335" s="5"/>
      <c r="Q335" s="5" t="s">
        <v>45</v>
      </c>
      <c r="R335" s="5"/>
      <c r="S335" s="5"/>
      <c r="T335" s="7"/>
      <c r="U335" s="7"/>
      <c r="V335" s="5"/>
      <c r="W335" s="5"/>
      <c r="X335" s="5" t="s">
        <v>3</v>
      </c>
      <c r="Y335" s="8" t="str">
        <f aca="false">IF($C335&lt;&gt;"",TRIM($C335&amp;", "&amp;$D335&amp;", "&amp;$E335&amp;" "&amp;$F335),IF($R335&lt;&gt;"",$R335,IF($D335&lt;&gt;"",$D335&amp;", "&amp;$E335,$I335)))</f>
        <v>Hereford, TX</v>
      </c>
    </row>
    <row r="336" customFormat="false" ht="15" hidden="false" customHeight="true" outlineLevel="0" collapsed="false">
      <c r="A336" s="5" t="s">
        <v>1247</v>
      </c>
      <c r="B336" s="5" t="s">
        <v>1247</v>
      </c>
      <c r="C336" s="5"/>
      <c r="D336" s="5" t="s">
        <v>859</v>
      </c>
      <c r="E336" s="5" t="s">
        <v>40</v>
      </c>
      <c r="F336" s="5"/>
      <c r="G336" s="5" t="s">
        <v>31</v>
      </c>
      <c r="H336" s="5" t="s">
        <v>157</v>
      </c>
      <c r="I336" s="5" t="s">
        <v>42</v>
      </c>
      <c r="J336" s="6" t="n">
        <v>1</v>
      </c>
      <c r="K336" s="5" t="s">
        <v>426</v>
      </c>
      <c r="L336" s="5" t="n">
        <f aca="false">IF($K336="",0,LEN($K336)-LEN(SUBSTITUTE($K336,",",""))+1)</f>
        <v>1</v>
      </c>
      <c r="M336" s="5" t="s">
        <v>44</v>
      </c>
      <c r="N336" s="5" t="str">
        <f aca="false">TRIM($A336&amp;" "&amp;IF($C336="",$R336,$C336&amp;" "&amp;$D336&amp;" "&amp;$E336&amp;" "&amp;$F336))</f>
        <v>D &amp; D LIQUOR Store LLC</v>
      </c>
      <c r="O336" s="5" t="str">
        <f aca="false">IF($P336&lt;&gt;"","Exclude",IF(AND($M336&lt;&gt;"Full address",$R336=""),"Needs address",IF($J336&lt;0.5,"Hold - low volume",IF(LEFT($W336,3)="Low","Verify address",IF($G336="Needs review","Needs premise review",IF($X336="Estimated","Ready - address estimated","Ready"))))))</f>
        <v>Needs address</v>
      </c>
      <c r="P336" s="5"/>
      <c r="Q336" s="5" t="s">
        <v>45</v>
      </c>
      <c r="R336" s="5"/>
      <c r="S336" s="5"/>
      <c r="T336" s="7"/>
      <c r="U336" s="7"/>
      <c r="V336" s="5"/>
      <c r="W336" s="5"/>
      <c r="X336" s="5" t="s">
        <v>3</v>
      </c>
      <c r="Y336" s="8" t="str">
        <f aca="false">IF($C336&lt;&gt;"",TRIM($C336&amp;", "&amp;$D336&amp;", "&amp;$E336&amp;" "&amp;$F336),IF($R336&lt;&gt;"",$R336,IF($D336&lt;&gt;"",$D336&amp;", "&amp;$E336,$I336)))</f>
        <v>Abilene, TX</v>
      </c>
    </row>
    <row r="337" customFormat="false" ht="15" hidden="false" customHeight="true" outlineLevel="0" collapsed="false">
      <c r="A337" s="5" t="s">
        <v>1248</v>
      </c>
      <c r="B337" s="5" t="s">
        <v>1248</v>
      </c>
      <c r="C337" s="5"/>
      <c r="D337" s="5" t="s">
        <v>1249</v>
      </c>
      <c r="E337" s="5" t="s">
        <v>40</v>
      </c>
      <c r="F337" s="5"/>
      <c r="G337" s="5" t="s">
        <v>31</v>
      </c>
      <c r="H337" s="5" t="s">
        <v>41</v>
      </c>
      <c r="I337" s="5" t="s">
        <v>42</v>
      </c>
      <c r="J337" s="6" t="n">
        <v>1</v>
      </c>
      <c r="K337" s="5" t="s">
        <v>469</v>
      </c>
      <c r="L337" s="5" t="n">
        <f aca="false">IF($K337="",0,LEN($K337)-LEN(SUBSTITUTE($K337,",",""))+1)</f>
        <v>1</v>
      </c>
      <c r="M337" s="5" t="s">
        <v>44</v>
      </c>
      <c r="N337" s="5" t="str">
        <f aca="false">TRIM($A337&amp;" "&amp;IF($C337="",$R337,$C337&amp;" "&amp;$D337&amp;" "&amp;$E337&amp;" "&amp;$F337))</f>
        <v>Dog House Liquors</v>
      </c>
      <c r="O337" s="5" t="str">
        <f aca="false">IF($P337&lt;&gt;"","Exclude",IF(AND($M337&lt;&gt;"Full address",$R337=""),"Needs address",IF($J337&lt;0.5,"Hold - low volume",IF(LEFT($W337,3)="Low","Verify address",IF($G337="Needs review","Needs premise review",IF($X337="Estimated","Ready - address estimated","Ready"))))))</f>
        <v>Needs address</v>
      </c>
      <c r="P337" s="5"/>
      <c r="Q337" s="5" t="s">
        <v>45</v>
      </c>
      <c r="R337" s="5"/>
      <c r="S337" s="5"/>
      <c r="T337" s="7"/>
      <c r="U337" s="7"/>
      <c r="V337" s="5"/>
      <c r="W337" s="5"/>
      <c r="X337" s="5" t="s">
        <v>3</v>
      </c>
      <c r="Y337" s="8" t="str">
        <f aca="false">IF($C337&lt;&gt;"",TRIM($C337&amp;", "&amp;$D337&amp;", "&amp;$E337&amp;" "&amp;$F337),IF($R337&lt;&gt;"",$R337,IF($D337&lt;&gt;"",$D337&amp;", "&amp;$E337,$I337)))</f>
        <v>Borger, TX</v>
      </c>
    </row>
    <row r="338" customFormat="false" ht="15" hidden="false" customHeight="true" outlineLevel="0" collapsed="false">
      <c r="A338" s="5" t="s">
        <v>1250</v>
      </c>
      <c r="B338" s="5" t="s">
        <v>1250</v>
      </c>
      <c r="C338" s="5"/>
      <c r="D338" s="5" t="s">
        <v>349</v>
      </c>
      <c r="E338" s="5" t="s">
        <v>40</v>
      </c>
      <c r="F338" s="5"/>
      <c r="G338" s="5" t="s">
        <v>31</v>
      </c>
      <c r="H338" s="5" t="s">
        <v>41</v>
      </c>
      <c r="I338" s="5" t="s">
        <v>42</v>
      </c>
      <c r="J338" s="6" t="n">
        <v>1</v>
      </c>
      <c r="K338" s="5" t="s">
        <v>76</v>
      </c>
      <c r="L338" s="5" t="n">
        <f aca="false">IF($K338="",0,LEN($K338)-LEN(SUBSTITUTE($K338,",",""))+1)</f>
        <v>1</v>
      </c>
      <c r="M338" s="5" t="s">
        <v>44</v>
      </c>
      <c r="N338" s="5" t="str">
        <f aca="false">TRIM($A338&amp;" "&amp;IF($C338="",$R338,$C338&amp;" "&amp;$D338&amp;" "&amp;$E338&amp;" "&amp;$F338))</f>
        <v>Ft Worth Discount Liquor</v>
      </c>
      <c r="O338" s="5" t="str">
        <f aca="false">IF($P338&lt;&gt;"","Exclude",IF(AND($M338&lt;&gt;"Full address",$R338=""),"Needs address",IF($J338&lt;0.5,"Hold - low volume",IF(LEFT($W338,3)="Low","Verify address",IF($G338="Needs review","Needs premise review",IF($X338="Estimated","Ready - address estimated","Ready"))))))</f>
        <v>Needs address</v>
      </c>
      <c r="P338" s="5"/>
      <c r="Q338" s="5" t="s">
        <v>45</v>
      </c>
      <c r="R338" s="5"/>
      <c r="S338" s="5"/>
      <c r="T338" s="7"/>
      <c r="U338" s="7"/>
      <c r="V338" s="5"/>
      <c r="W338" s="5"/>
      <c r="X338" s="5" t="s">
        <v>3</v>
      </c>
      <c r="Y338" s="8" t="str">
        <f aca="false">IF($C338&lt;&gt;"",TRIM($C338&amp;", "&amp;$D338&amp;", "&amp;$E338&amp;" "&amp;$F338),IF($R338&lt;&gt;"",$R338,IF($D338&lt;&gt;"",$D338&amp;", "&amp;$E338,$I338)))</f>
        <v>Fort Worth, TX</v>
      </c>
    </row>
    <row r="339" customFormat="false" ht="15" hidden="false" customHeight="true" outlineLevel="0" collapsed="false">
      <c r="A339" s="5" t="s">
        <v>1251</v>
      </c>
      <c r="B339" s="5" t="s">
        <v>1251</v>
      </c>
      <c r="C339" s="5"/>
      <c r="D339" s="5" t="s">
        <v>1234</v>
      </c>
      <c r="E339" s="5" t="s">
        <v>40</v>
      </c>
      <c r="F339" s="5"/>
      <c r="G339" s="5" t="s">
        <v>31</v>
      </c>
      <c r="H339" s="5" t="s">
        <v>157</v>
      </c>
      <c r="I339" s="5" t="s">
        <v>42</v>
      </c>
      <c r="J339" s="6" t="n">
        <v>1</v>
      </c>
      <c r="K339" s="5" t="s">
        <v>76</v>
      </c>
      <c r="L339" s="5" t="n">
        <f aca="false">IF($K339="",0,LEN($K339)-LEN(SUBSTITUTE($K339,",",""))+1)</f>
        <v>1</v>
      </c>
      <c r="M339" s="5" t="s">
        <v>44</v>
      </c>
      <c r="N339" s="5" t="str">
        <f aca="false">TRIM($A339&amp;" "&amp;IF($C339="",$R339,$C339&amp;" "&amp;$D339&amp;" "&amp;$E339&amp;" "&amp;$F339))</f>
        <v>GOODNIGHT SPIRITS</v>
      </c>
      <c r="O339" s="5" t="str">
        <f aca="false">IF($P339&lt;&gt;"","Exclude",IF(AND($M339&lt;&gt;"Full address",$R339=""),"Needs address",IF($J339&lt;0.5,"Hold - low volume",IF(LEFT($W339,3)="Low","Verify address",IF($G339="Needs review","Needs premise review",IF($X339="Estimated","Ready - address estimated","Ready"))))))</f>
        <v>Needs address</v>
      </c>
      <c r="P339" s="5"/>
      <c r="Q339" s="5" t="s">
        <v>45</v>
      </c>
      <c r="R339" s="5"/>
      <c r="S339" s="5"/>
      <c r="T339" s="7"/>
      <c r="U339" s="7"/>
      <c r="V339" s="5"/>
      <c r="W339" s="5"/>
      <c r="X339" s="5" t="s">
        <v>3</v>
      </c>
      <c r="Y339" s="8" t="str">
        <f aca="false">IF($C339&lt;&gt;"",TRIM($C339&amp;", "&amp;$D339&amp;", "&amp;$E339&amp;" "&amp;$F339),IF($R339&lt;&gt;"",$R339,IF($D339&lt;&gt;"",$D339&amp;", "&amp;$E339,$I339)))</f>
        <v>Midland, TX</v>
      </c>
    </row>
    <row r="340" customFormat="false" ht="15" hidden="false" customHeight="true" outlineLevel="0" collapsed="false">
      <c r="A340" s="5" t="s">
        <v>1252</v>
      </c>
      <c r="B340" s="5" t="s">
        <v>1252</v>
      </c>
      <c r="C340" s="5"/>
      <c r="D340" s="5" t="s">
        <v>354</v>
      </c>
      <c r="E340" s="5" t="s">
        <v>40</v>
      </c>
      <c r="F340" s="5"/>
      <c r="G340" s="5" t="s">
        <v>144</v>
      </c>
      <c r="H340" s="5" t="s">
        <v>41</v>
      </c>
      <c r="I340" s="5" t="s">
        <v>42</v>
      </c>
      <c r="J340" s="6" t="n">
        <v>1</v>
      </c>
      <c r="K340" s="5" t="s">
        <v>426</v>
      </c>
      <c r="L340" s="5" t="n">
        <f aca="false">IF($K340="",0,LEN($K340)-LEN(SUBSTITUTE($K340,",",""))+1)</f>
        <v>1</v>
      </c>
      <c r="M340" s="5" t="s">
        <v>44</v>
      </c>
      <c r="N340" s="5" t="str">
        <f aca="false">TRIM($A340&amp;" "&amp;IF($C340="",$R340,$C340&amp;" "&amp;$D340&amp;" "&amp;$E340&amp;" "&amp;$F340))</f>
        <v>Goody Goody #03</v>
      </c>
      <c r="O340" s="5" t="str">
        <f aca="false">IF($P340&lt;&gt;"","Exclude",IF(AND($M340&lt;&gt;"Full address",$R340=""),"Needs address",IF($J340&lt;0.5,"Hold - low volume",IF(LEFT($W340,3)="Low","Verify address",IF($G340="Needs review","Needs premise review",IF($X340="Estimated","Ready - address estimated","Ready"))))))</f>
        <v>Needs address</v>
      </c>
      <c r="P340" s="5"/>
      <c r="Q340" s="5" t="s">
        <v>45</v>
      </c>
      <c r="R340" s="5"/>
      <c r="S340" s="5"/>
      <c r="T340" s="7"/>
      <c r="U340" s="7"/>
      <c r="V340" s="5"/>
      <c r="W340" s="5"/>
      <c r="X340" s="5" t="s">
        <v>3</v>
      </c>
      <c r="Y340" s="8" t="str">
        <f aca="false">IF($C340&lt;&gt;"",TRIM($C340&amp;", "&amp;$D340&amp;", "&amp;$E340&amp;" "&amp;$F340),IF($R340&lt;&gt;"",$R340,IF($D340&lt;&gt;"",$D340&amp;", "&amp;$E340,$I340)))</f>
        <v>Dallas, TX</v>
      </c>
    </row>
    <row r="341" customFormat="false" ht="15" hidden="false" customHeight="true" outlineLevel="0" collapsed="false">
      <c r="A341" s="5" t="s">
        <v>1253</v>
      </c>
      <c r="B341" s="5" t="s">
        <v>1253</v>
      </c>
      <c r="C341" s="5"/>
      <c r="D341" s="5" t="s">
        <v>354</v>
      </c>
      <c r="E341" s="5" t="s">
        <v>40</v>
      </c>
      <c r="F341" s="5"/>
      <c r="G341" s="5" t="s">
        <v>144</v>
      </c>
      <c r="H341" s="5" t="s">
        <v>41</v>
      </c>
      <c r="I341" s="5" t="s">
        <v>42</v>
      </c>
      <c r="J341" s="6" t="n">
        <v>1</v>
      </c>
      <c r="K341" s="5" t="s">
        <v>426</v>
      </c>
      <c r="L341" s="5" t="n">
        <f aca="false">IF($K341="",0,LEN($K341)-LEN(SUBSTITUTE($K341,",",""))+1)</f>
        <v>1</v>
      </c>
      <c r="M341" s="5" t="s">
        <v>44</v>
      </c>
      <c r="N341" s="5" t="str">
        <f aca="false">TRIM($A341&amp;" "&amp;IF($C341="",$R341,$C341&amp;" "&amp;$D341&amp;" "&amp;$E341&amp;" "&amp;$F341))</f>
        <v>Goody Goody #09</v>
      </c>
      <c r="O341" s="5" t="str">
        <f aca="false">IF($P341&lt;&gt;"","Exclude",IF(AND($M341&lt;&gt;"Full address",$R341=""),"Needs address",IF($J341&lt;0.5,"Hold - low volume",IF(LEFT($W341,3)="Low","Verify address",IF($G341="Needs review","Needs premise review",IF($X341="Estimated","Ready - address estimated","Ready"))))))</f>
        <v>Needs address</v>
      </c>
      <c r="P341" s="5"/>
      <c r="Q341" s="5" t="s">
        <v>45</v>
      </c>
      <c r="R341" s="5"/>
      <c r="S341" s="5"/>
      <c r="T341" s="7"/>
      <c r="U341" s="7"/>
      <c r="V341" s="5"/>
      <c r="W341" s="5"/>
      <c r="X341" s="5" t="s">
        <v>3</v>
      </c>
      <c r="Y341" s="8" t="str">
        <f aca="false">IF($C341&lt;&gt;"",TRIM($C341&amp;", "&amp;$D341&amp;", "&amp;$E341&amp;" "&amp;$F341),IF($R341&lt;&gt;"",$R341,IF($D341&lt;&gt;"",$D341&amp;", "&amp;$E341,$I341)))</f>
        <v>Dallas, TX</v>
      </c>
    </row>
    <row r="342" customFormat="false" ht="15" hidden="false" customHeight="true" outlineLevel="0" collapsed="false">
      <c r="A342" s="5" t="s">
        <v>1254</v>
      </c>
      <c r="B342" s="5" t="s">
        <v>1254</v>
      </c>
      <c r="C342" s="5"/>
      <c r="D342" s="5" t="s">
        <v>891</v>
      </c>
      <c r="E342" s="5" t="s">
        <v>40</v>
      </c>
      <c r="F342" s="5"/>
      <c r="G342" s="5" t="s">
        <v>144</v>
      </c>
      <c r="H342" s="5" t="s">
        <v>41</v>
      </c>
      <c r="I342" s="5" t="s">
        <v>42</v>
      </c>
      <c r="J342" s="6" t="n">
        <v>1</v>
      </c>
      <c r="K342" s="5" t="s">
        <v>426</v>
      </c>
      <c r="L342" s="5" t="n">
        <f aca="false">IF($K342="",0,LEN($K342)-LEN(SUBSTITUTE($K342,",",""))+1)</f>
        <v>1</v>
      </c>
      <c r="M342" s="5" t="s">
        <v>44</v>
      </c>
      <c r="N342" s="5" t="str">
        <f aca="false">TRIM($A342&amp;" "&amp;IF($C342="",$R342,$C342&amp;" "&amp;$D342&amp;" "&amp;$E342&amp;" "&amp;$F342))</f>
        <v>Goody Goody #10</v>
      </c>
      <c r="O342" s="5" t="str">
        <f aca="false">IF($P342&lt;&gt;"","Exclude",IF(AND($M342&lt;&gt;"Full address",$R342=""),"Needs address",IF($J342&lt;0.5,"Hold - low volume",IF(LEFT($W342,3)="Low","Verify address",IF($G342="Needs review","Needs premise review",IF($X342="Estimated","Ready - address estimated","Ready"))))))</f>
        <v>Needs address</v>
      </c>
      <c r="P342" s="5"/>
      <c r="Q342" s="5" t="s">
        <v>45</v>
      </c>
      <c r="R342" s="5"/>
      <c r="S342" s="5"/>
      <c r="T342" s="7"/>
      <c r="U342" s="7"/>
      <c r="V342" s="5"/>
      <c r="W342" s="5"/>
      <c r="X342" s="5" t="s">
        <v>3</v>
      </c>
      <c r="Y342" s="8" t="str">
        <f aca="false">IF($C342&lt;&gt;"",TRIM($C342&amp;", "&amp;$D342&amp;", "&amp;$E342&amp;" "&amp;$F342),IF($R342&lt;&gt;"",$R342,IF($D342&lt;&gt;"",$D342&amp;", "&amp;$E342,$I342)))</f>
        <v>Addison, TX</v>
      </c>
    </row>
    <row r="343" customFormat="false" ht="15" hidden="false" customHeight="true" outlineLevel="0" collapsed="false">
      <c r="A343" s="5" t="s">
        <v>1255</v>
      </c>
      <c r="B343" s="5" t="s">
        <v>1255</v>
      </c>
      <c r="C343" s="5"/>
      <c r="D343" s="5" t="s">
        <v>1256</v>
      </c>
      <c r="E343" s="5" t="s">
        <v>40</v>
      </c>
      <c r="F343" s="5"/>
      <c r="G343" s="5" t="s">
        <v>144</v>
      </c>
      <c r="H343" s="5" t="s">
        <v>41</v>
      </c>
      <c r="I343" s="5" t="s">
        <v>42</v>
      </c>
      <c r="J343" s="6" t="n">
        <v>1</v>
      </c>
      <c r="K343" s="5" t="s">
        <v>426</v>
      </c>
      <c r="L343" s="5" t="n">
        <f aca="false">IF($K343="",0,LEN($K343)-LEN(SUBSTITUTE($K343,",",""))+1)</f>
        <v>1</v>
      </c>
      <c r="M343" s="5" t="s">
        <v>44</v>
      </c>
      <c r="N343" s="5" t="str">
        <f aca="false">TRIM($A343&amp;" "&amp;IF($C343="",$R343,$C343&amp;" "&amp;$D343&amp;" "&amp;$E343&amp;" "&amp;$F343))</f>
        <v>Goody Goody #11</v>
      </c>
      <c r="O343" s="5" t="str">
        <f aca="false">IF($P343&lt;&gt;"","Exclude",IF(AND($M343&lt;&gt;"Full address",$R343=""),"Needs address",IF($J343&lt;0.5,"Hold - low volume",IF(LEFT($W343,3)="Low","Verify address",IF($G343="Needs review","Needs premise review",IF($X343="Estimated","Ready - address estimated","Ready"))))))</f>
        <v>Needs address</v>
      </c>
      <c r="P343" s="5"/>
      <c r="Q343" s="5" t="s">
        <v>45</v>
      </c>
      <c r="R343" s="5"/>
      <c r="S343" s="5"/>
      <c r="T343" s="7"/>
      <c r="U343" s="7"/>
      <c r="V343" s="5"/>
      <c r="W343" s="5"/>
      <c r="X343" s="5" t="s">
        <v>3</v>
      </c>
      <c r="Y343" s="8" t="str">
        <f aca="false">IF($C343&lt;&gt;"",TRIM($C343&amp;", "&amp;$D343&amp;", "&amp;$E343&amp;" "&amp;$F343),IF($R343&lt;&gt;"",$R343,IF($D343&lt;&gt;"",$D343&amp;", "&amp;$E343,$I343)))</f>
        <v>The Colony, TX</v>
      </c>
    </row>
    <row r="344" customFormat="false" ht="15" hidden="false" customHeight="true" outlineLevel="0" collapsed="false">
      <c r="A344" s="5" t="s">
        <v>1257</v>
      </c>
      <c r="B344" s="5" t="s">
        <v>1257</v>
      </c>
      <c r="C344" s="5"/>
      <c r="D344" s="5" t="s">
        <v>1258</v>
      </c>
      <c r="E344" s="5" t="s">
        <v>40</v>
      </c>
      <c r="F344" s="5"/>
      <c r="G344" s="5" t="s">
        <v>144</v>
      </c>
      <c r="H344" s="5" t="s">
        <v>41</v>
      </c>
      <c r="I344" s="5" t="s">
        <v>42</v>
      </c>
      <c r="J344" s="6" t="n">
        <v>1</v>
      </c>
      <c r="K344" s="5" t="s">
        <v>76</v>
      </c>
      <c r="L344" s="5" t="n">
        <f aca="false">IF($K344="",0,LEN($K344)-LEN(SUBSTITUTE($K344,",",""))+1)</f>
        <v>1</v>
      </c>
      <c r="M344" s="5" t="s">
        <v>44</v>
      </c>
      <c r="N344" s="5" t="str">
        <f aca="false">TRIM($A344&amp;" "&amp;IF($C344="",$R344,$C344&amp;" "&amp;$D344&amp;" "&amp;$E344&amp;" "&amp;$F344))</f>
        <v>Goody Goody #14</v>
      </c>
      <c r="O344" s="5" t="str">
        <f aca="false">IF($P344&lt;&gt;"","Exclude",IF(AND($M344&lt;&gt;"Full address",$R344=""),"Needs address",IF($J344&lt;0.5,"Hold - low volume",IF(LEFT($W344,3)="Low","Verify address",IF($G344="Needs review","Needs premise review",IF($X344="Estimated","Ready - address estimated","Ready"))))))</f>
        <v>Needs address</v>
      </c>
      <c r="P344" s="5"/>
      <c r="Q344" s="5" t="s">
        <v>45</v>
      </c>
      <c r="R344" s="5"/>
      <c r="S344" s="5"/>
      <c r="T344" s="7"/>
      <c r="U344" s="7"/>
      <c r="V344" s="5"/>
      <c r="W344" s="5"/>
      <c r="X344" s="5" t="s">
        <v>3</v>
      </c>
      <c r="Y344" s="8" t="str">
        <f aca="false">IF($C344&lt;&gt;"",TRIM($C344&amp;", "&amp;$D344&amp;", "&amp;$E344&amp;" "&amp;$F344),IF($R344&lt;&gt;"",$R344,IF($D344&lt;&gt;"",$D344&amp;", "&amp;$E344,$I344)))</f>
        <v>Lake Dallas, TX</v>
      </c>
    </row>
    <row r="345" customFormat="false" ht="15" hidden="false" customHeight="true" outlineLevel="0" collapsed="false">
      <c r="A345" s="5" t="s">
        <v>1259</v>
      </c>
      <c r="B345" s="5" t="s">
        <v>1259</v>
      </c>
      <c r="C345" s="5"/>
      <c r="D345" s="5" t="s">
        <v>863</v>
      </c>
      <c r="E345" s="5" t="s">
        <v>40</v>
      </c>
      <c r="F345" s="5"/>
      <c r="G345" s="5" t="s">
        <v>144</v>
      </c>
      <c r="H345" s="5" t="s">
        <v>157</v>
      </c>
      <c r="I345" s="5" t="s">
        <v>42</v>
      </c>
      <c r="J345" s="6" t="n">
        <v>1</v>
      </c>
      <c r="K345" s="5" t="s">
        <v>76</v>
      </c>
      <c r="L345" s="5" t="n">
        <f aca="false">IF($K345="",0,LEN($K345)-LEN(SUBSTITUTE($K345,",",""))+1)</f>
        <v>1</v>
      </c>
      <c r="M345" s="5" t="s">
        <v>44</v>
      </c>
      <c r="N345" s="5" t="str">
        <f aca="false">TRIM($A345&amp;" "&amp;IF($C345="",$R345,$C345&amp;" "&amp;$D345&amp;" "&amp;$E345&amp;" "&amp;$F345))</f>
        <v>Goody Goody #21</v>
      </c>
      <c r="O345" s="5" t="str">
        <f aca="false">IF($P345&lt;&gt;"","Exclude",IF(AND($M345&lt;&gt;"Full address",$R345=""),"Needs address",IF($J345&lt;0.5,"Hold - low volume",IF(LEFT($W345,3)="Low","Verify address",IF($G345="Needs review","Needs premise review",IF($X345="Estimated","Ready - address estimated","Ready"))))))</f>
        <v>Needs address</v>
      </c>
      <c r="P345" s="5"/>
      <c r="Q345" s="5" t="s">
        <v>45</v>
      </c>
      <c r="R345" s="5"/>
      <c r="S345" s="5"/>
      <c r="T345" s="7"/>
      <c r="U345" s="7"/>
      <c r="V345" s="5"/>
      <c r="W345" s="5"/>
      <c r="X345" s="5" t="s">
        <v>3</v>
      </c>
      <c r="Y345" s="8" t="str">
        <f aca="false">IF($C345&lt;&gt;"",TRIM($C345&amp;", "&amp;$D345&amp;", "&amp;$E345&amp;" "&amp;$F345),IF($R345&lt;&gt;"",$R345,IF($D345&lt;&gt;"",$D345&amp;", "&amp;$E345,$I345)))</f>
        <v>Longview, TX</v>
      </c>
    </row>
    <row r="346" customFormat="false" ht="15" hidden="false" customHeight="true" outlineLevel="0" collapsed="false">
      <c r="A346" s="5" t="s">
        <v>1260</v>
      </c>
      <c r="B346" s="5" t="s">
        <v>1260</v>
      </c>
      <c r="C346" s="5"/>
      <c r="D346" s="5" t="s">
        <v>344</v>
      </c>
      <c r="E346" s="5" t="s">
        <v>40</v>
      </c>
      <c r="F346" s="5"/>
      <c r="G346" s="5" t="s">
        <v>144</v>
      </c>
      <c r="H346" s="5" t="s">
        <v>41</v>
      </c>
      <c r="I346" s="5" t="s">
        <v>42</v>
      </c>
      <c r="J346" s="6" t="n">
        <v>1</v>
      </c>
      <c r="K346" s="5" t="s">
        <v>469</v>
      </c>
      <c r="L346" s="5" t="n">
        <f aca="false">IF($K346="",0,LEN($K346)-LEN(SUBSTITUTE($K346,",",""))+1)</f>
        <v>1</v>
      </c>
      <c r="M346" s="5" t="s">
        <v>44</v>
      </c>
      <c r="N346" s="5" t="str">
        <f aca="false">TRIM($A346&amp;" "&amp;IF($C346="",$R346,$C346&amp;" "&amp;$D346&amp;" "&amp;$E346&amp;" "&amp;$F346))</f>
        <v>Goody Goody #30</v>
      </c>
      <c r="O346" s="5" t="str">
        <f aca="false">IF($P346&lt;&gt;"","Exclude",IF(AND($M346&lt;&gt;"Full address",$R346=""),"Needs address",IF($J346&lt;0.5,"Hold - low volume",IF(LEFT($W346,3)="Low","Verify address",IF($G346="Needs review","Needs premise review",IF($X346="Estimated","Ready - address estimated","Ready"))))))</f>
        <v>Needs address</v>
      </c>
      <c r="P346" s="5"/>
      <c r="Q346" s="5" t="s">
        <v>45</v>
      </c>
      <c r="R346" s="5"/>
      <c r="S346" s="5"/>
      <c r="T346" s="7"/>
      <c r="U346" s="7"/>
      <c r="V346" s="5"/>
      <c r="W346" s="5"/>
      <c r="X346" s="5" t="s">
        <v>3</v>
      </c>
      <c r="Y346" s="8" t="str">
        <f aca="false">IF($C346&lt;&gt;"",TRIM($C346&amp;", "&amp;$D346&amp;", "&amp;$E346&amp;" "&amp;$F346),IF($R346&lt;&gt;"",$R346,IF($D346&lt;&gt;"",$D346&amp;", "&amp;$E346,$I346)))</f>
        <v>Mckinney, TX</v>
      </c>
    </row>
    <row r="347" customFormat="false" ht="15" hidden="false" customHeight="true" outlineLevel="0" collapsed="false">
      <c r="A347" s="5" t="s">
        <v>1261</v>
      </c>
      <c r="B347" s="5" t="s">
        <v>1261</v>
      </c>
      <c r="C347" s="5"/>
      <c r="D347" s="5" t="s">
        <v>855</v>
      </c>
      <c r="E347" s="5" t="s">
        <v>40</v>
      </c>
      <c r="F347" s="5"/>
      <c r="G347" s="5" t="s">
        <v>144</v>
      </c>
      <c r="H347" s="5" t="s">
        <v>157</v>
      </c>
      <c r="I347" s="5" t="s">
        <v>42</v>
      </c>
      <c r="J347" s="6" t="n">
        <v>1</v>
      </c>
      <c r="K347" s="5" t="s">
        <v>76</v>
      </c>
      <c r="L347" s="5" t="n">
        <f aca="false">IF($K347="",0,LEN($K347)-LEN(SUBSTITUTE($K347,",",""))+1)</f>
        <v>1</v>
      </c>
      <c r="M347" s="5" t="s">
        <v>44</v>
      </c>
      <c r="N347" s="5" t="str">
        <f aca="false">TRIM($A347&amp;" "&amp;IF($C347="",$R347,$C347&amp;" "&amp;$D347&amp;" "&amp;$E347&amp;" "&amp;$F347))</f>
        <v>Goody Goody #40</v>
      </c>
      <c r="O347" s="5" t="str">
        <f aca="false">IF($P347&lt;&gt;"","Exclude",IF(AND($M347&lt;&gt;"Full address",$R347=""),"Needs address",IF($J347&lt;0.5,"Hold - low volume",IF(LEFT($W347,3)="Low","Verify address",IF($G347="Needs review","Needs premise review",IF($X347="Estimated","Ready - address estimated","Ready"))))))</f>
        <v>Needs address</v>
      </c>
      <c r="P347" s="5"/>
      <c r="Q347" s="5" t="s">
        <v>45</v>
      </c>
      <c r="R347" s="5"/>
      <c r="S347" s="5"/>
      <c r="T347" s="7"/>
      <c r="U347" s="7"/>
      <c r="V347" s="5"/>
      <c r="W347" s="5"/>
      <c r="X347" s="5" t="s">
        <v>3</v>
      </c>
      <c r="Y347" s="8" t="str">
        <f aca="false">IF($C347&lt;&gt;"",TRIM($C347&amp;", "&amp;$D347&amp;", "&amp;$E347&amp;" "&amp;$F347),IF($R347&lt;&gt;"",$R347,IF($D347&lt;&gt;"",$D347&amp;", "&amp;$E347,$I347)))</f>
        <v>Houston, TX</v>
      </c>
    </row>
    <row r="348" customFormat="false" ht="15" hidden="false" customHeight="true" outlineLevel="0" collapsed="false">
      <c r="A348" s="5" t="s">
        <v>1262</v>
      </c>
      <c r="B348" s="5" t="s">
        <v>1262</v>
      </c>
      <c r="C348" s="5"/>
      <c r="D348" s="5" t="s">
        <v>1263</v>
      </c>
      <c r="E348" s="5" t="s">
        <v>40</v>
      </c>
      <c r="F348" s="5"/>
      <c r="G348" s="5" t="s">
        <v>31</v>
      </c>
      <c r="H348" s="5" t="s">
        <v>157</v>
      </c>
      <c r="I348" s="5" t="s">
        <v>42</v>
      </c>
      <c r="J348" s="6" t="n">
        <v>1</v>
      </c>
      <c r="K348" s="5" t="s">
        <v>76</v>
      </c>
      <c r="L348" s="5" t="n">
        <f aca="false">IF($K348="",0,LEN($K348)-LEN(SUBSTITUTE($K348,",",""))+1)</f>
        <v>1</v>
      </c>
      <c r="M348" s="5" t="s">
        <v>44</v>
      </c>
      <c r="N348" s="5" t="str">
        <f aca="false">TRIM($A348&amp;" "&amp;IF($C348="",$R348,$C348&amp;" "&amp;$D348&amp;" "&amp;$E348&amp;" "&amp;$F348))</f>
        <v>Grumpy's Liquor</v>
      </c>
      <c r="O348" s="5" t="str">
        <f aca="false">IF($P348&lt;&gt;"","Exclude",IF(AND($M348&lt;&gt;"Full address",$R348=""),"Needs address",IF($J348&lt;0.5,"Hold - low volume",IF(LEFT($W348,3)="Low","Verify address",IF($G348="Needs review","Needs premise review",IF($X348="Estimated","Ready - address estimated","Ready"))))))</f>
        <v>Needs address</v>
      </c>
      <c r="P348" s="5"/>
      <c r="Q348" s="5" t="s">
        <v>45</v>
      </c>
      <c r="R348" s="5"/>
      <c r="S348" s="5"/>
      <c r="T348" s="7"/>
      <c r="U348" s="7"/>
      <c r="V348" s="5"/>
      <c r="W348" s="5"/>
      <c r="X348" s="5" t="s">
        <v>3</v>
      </c>
      <c r="Y348" s="8" t="str">
        <f aca="false">IF($C348&lt;&gt;"",TRIM($C348&amp;", "&amp;$D348&amp;", "&amp;$E348&amp;" "&amp;$F348),IF($R348&lt;&gt;"",$R348,IF($D348&lt;&gt;"",$D348&amp;", "&amp;$E348,$I348)))</f>
        <v>Christoval, TX</v>
      </c>
    </row>
    <row r="349" customFormat="false" ht="15" hidden="false" customHeight="true" outlineLevel="0" collapsed="false">
      <c r="A349" s="5" t="s">
        <v>1264</v>
      </c>
      <c r="B349" s="5" t="s">
        <v>1264</v>
      </c>
      <c r="C349" s="5"/>
      <c r="D349" s="5" t="s">
        <v>1265</v>
      </c>
      <c r="E349" s="5" t="s">
        <v>40</v>
      </c>
      <c r="F349" s="5"/>
      <c r="G349" s="5" t="s">
        <v>31</v>
      </c>
      <c r="H349" s="5" t="s">
        <v>41</v>
      </c>
      <c r="I349" s="5" t="s">
        <v>42</v>
      </c>
      <c r="J349" s="6" t="n">
        <v>1</v>
      </c>
      <c r="K349" s="5" t="s">
        <v>76</v>
      </c>
      <c r="L349" s="5" t="n">
        <f aca="false">IF($K349="",0,LEN($K349)-LEN(SUBSTITUTE($K349,",",""))+1)</f>
        <v>1</v>
      </c>
      <c r="M349" s="5" t="s">
        <v>44</v>
      </c>
      <c r="N349" s="5" t="str">
        <f aca="false">TRIM($A349&amp;" "&amp;IF($C349="",$R349,$C349&amp;" "&amp;$D349&amp;" "&amp;$E349&amp;" "&amp;$F349))</f>
        <v>Holiday Depot Fine Wines &amp; Spirits</v>
      </c>
      <c r="O349" s="5" t="str">
        <f aca="false">IF($P349&lt;&gt;"","Exclude",IF(AND($M349&lt;&gt;"Full address",$R349=""),"Needs address",IF($J349&lt;0.5,"Hold - low volume",IF(LEFT($W349,3)="Low","Verify address",IF($G349="Needs review","Needs premise review",IF($X349="Estimated","Ready - address estimated","Ready"))))))</f>
        <v>Needs address</v>
      </c>
      <c r="P349" s="5"/>
      <c r="Q349" s="5" t="s">
        <v>45</v>
      </c>
      <c r="R349" s="5"/>
      <c r="S349" s="5"/>
      <c r="T349" s="7"/>
      <c r="U349" s="7"/>
      <c r="V349" s="5"/>
      <c r="W349" s="5"/>
      <c r="X349" s="5" t="s">
        <v>3</v>
      </c>
      <c r="Y349" s="8" t="str">
        <f aca="false">IF($C349&lt;&gt;"",TRIM($C349&amp;", "&amp;$D349&amp;", "&amp;$E349&amp;" "&amp;$F349),IF($R349&lt;&gt;"",$R349,IF($D349&lt;&gt;"",$D349&amp;", "&amp;$E349,$I349)))</f>
        <v>Bartonville, TX</v>
      </c>
    </row>
    <row r="350" customFormat="false" ht="15" hidden="false" customHeight="true" outlineLevel="0" collapsed="false">
      <c r="A350" s="5" t="s">
        <v>1266</v>
      </c>
      <c r="B350" s="5" t="s">
        <v>1266</v>
      </c>
      <c r="C350" s="5"/>
      <c r="D350" s="5" t="s">
        <v>349</v>
      </c>
      <c r="E350" s="5" t="s">
        <v>40</v>
      </c>
      <c r="F350" s="5"/>
      <c r="G350" s="5" t="s">
        <v>31</v>
      </c>
      <c r="H350" s="5" t="s">
        <v>41</v>
      </c>
      <c r="I350" s="5" t="s">
        <v>42</v>
      </c>
      <c r="J350" s="6" t="n">
        <v>1</v>
      </c>
      <c r="K350" s="5" t="s">
        <v>426</v>
      </c>
      <c r="L350" s="5" t="n">
        <f aca="false">IF($K350="",0,LEN($K350)-LEN(SUBSTITUTE($K350,",",""))+1)</f>
        <v>1</v>
      </c>
      <c r="M350" s="5" t="s">
        <v>44</v>
      </c>
      <c r="N350" s="5" t="str">
        <f aca="false">TRIM($A350&amp;" "&amp;IF($C350="",$R350,$C350&amp;" "&amp;$D350&amp;" "&amp;$E350&amp;" "&amp;$F350))</f>
        <v>Horizon Liquor (Hulen)</v>
      </c>
      <c r="O350" s="5" t="str">
        <f aca="false">IF($P350&lt;&gt;"","Exclude",IF(AND($M350&lt;&gt;"Full address",$R350=""),"Needs address",IF($J350&lt;0.5,"Hold - low volume",IF(LEFT($W350,3)="Low","Verify address",IF($G350="Needs review","Needs premise review",IF($X350="Estimated","Ready - address estimated","Ready"))))))</f>
        <v>Needs address</v>
      </c>
      <c r="P350" s="5"/>
      <c r="Q350" s="5" t="s">
        <v>45</v>
      </c>
      <c r="R350" s="5"/>
      <c r="S350" s="5"/>
      <c r="T350" s="7"/>
      <c r="U350" s="7"/>
      <c r="V350" s="5"/>
      <c r="W350" s="5"/>
      <c r="X350" s="5" t="s">
        <v>3</v>
      </c>
      <c r="Y350" s="8" t="str">
        <f aca="false">IF($C350&lt;&gt;"",TRIM($C350&amp;", "&amp;$D350&amp;", "&amp;$E350&amp;" "&amp;$F350),IF($R350&lt;&gt;"",$R350,IF($D350&lt;&gt;"",$D350&amp;", "&amp;$E350,$I350)))</f>
        <v>Fort Worth, TX</v>
      </c>
    </row>
    <row r="351" customFormat="false" ht="15" hidden="false" customHeight="true" outlineLevel="0" collapsed="false">
      <c r="A351" s="5" t="s">
        <v>1267</v>
      </c>
      <c r="B351" s="5" t="s">
        <v>1267</v>
      </c>
      <c r="C351" s="5"/>
      <c r="D351" s="5" t="s">
        <v>791</v>
      </c>
      <c r="E351" s="5" t="s">
        <v>40</v>
      </c>
      <c r="F351" s="5"/>
      <c r="G351" s="5" t="s">
        <v>31</v>
      </c>
      <c r="H351" s="5" t="s">
        <v>41</v>
      </c>
      <c r="I351" s="5" t="s">
        <v>42</v>
      </c>
      <c r="J351" s="6" t="n">
        <v>1</v>
      </c>
      <c r="K351" s="5" t="s">
        <v>319</v>
      </c>
      <c r="L351" s="5" t="n">
        <f aca="false">IF($K351="",0,LEN($K351)-LEN(SUBSTITUTE($K351,",",""))+1)</f>
        <v>1</v>
      </c>
      <c r="M351" s="5" t="s">
        <v>44</v>
      </c>
      <c r="N351" s="5" t="str">
        <f aca="false">TRIM($A351&amp;" "&amp;IF($C351="",$R351,$C351&amp;" "&amp;$D351&amp;" "&amp;$E351&amp;" "&amp;$F351))</f>
        <v>Hunt's Liquor</v>
      </c>
      <c r="O351" s="5" t="str">
        <f aca="false">IF($P351&lt;&gt;"","Exclude",IF(AND($M351&lt;&gt;"Full address",$R351=""),"Needs address",IF($J351&lt;0.5,"Hold - low volume",IF(LEFT($W351,3)="Low","Verify address",IF($G351="Needs review","Needs premise review",IF($X351="Estimated","Ready - address estimated","Ready"))))))</f>
        <v>Needs address</v>
      </c>
      <c r="P351" s="5"/>
      <c r="Q351" s="5" t="s">
        <v>45</v>
      </c>
      <c r="R351" s="5"/>
      <c r="S351" s="5"/>
      <c r="T351" s="7"/>
      <c r="U351" s="7"/>
      <c r="V351" s="5"/>
      <c r="W351" s="5"/>
      <c r="X351" s="5" t="s">
        <v>3</v>
      </c>
      <c r="Y351" s="8" t="str">
        <f aca="false">IF($C351&lt;&gt;"",TRIM($C351&amp;", "&amp;$D351&amp;", "&amp;$E351&amp;" "&amp;$F351),IF($R351&lt;&gt;"",$R351,IF($D351&lt;&gt;"",$D351&amp;", "&amp;$E351,$I351)))</f>
        <v>Greenville, TX</v>
      </c>
    </row>
    <row r="352" customFormat="false" ht="15" hidden="false" customHeight="true" outlineLevel="0" collapsed="false">
      <c r="A352" s="5" t="s">
        <v>1268</v>
      </c>
      <c r="B352" s="5" t="s">
        <v>1268</v>
      </c>
      <c r="C352" s="5"/>
      <c r="D352" s="5" t="s">
        <v>1269</v>
      </c>
      <c r="E352" s="5" t="s">
        <v>40</v>
      </c>
      <c r="F352" s="5"/>
      <c r="G352" s="5" t="s">
        <v>31</v>
      </c>
      <c r="H352" s="5" t="s">
        <v>41</v>
      </c>
      <c r="I352" s="5" t="s">
        <v>42</v>
      </c>
      <c r="J352" s="6" t="n">
        <v>1</v>
      </c>
      <c r="K352" s="5" t="s">
        <v>426</v>
      </c>
      <c r="L352" s="5" t="n">
        <f aca="false">IF($K352="",0,LEN($K352)-LEN(SUBSTITUTE($K352,",",""))+1)</f>
        <v>1</v>
      </c>
      <c r="M352" s="5" t="s">
        <v>44</v>
      </c>
      <c r="N352" s="5" t="str">
        <f aca="false">TRIM($A352&amp;" "&amp;IF($C352="",$R352,$C352&amp;" "&amp;$D352&amp;" "&amp;$E352&amp;" "&amp;$F352))</f>
        <v>I-20 Liquor</v>
      </c>
      <c r="O352" s="5" t="str">
        <f aca="false">IF($P352&lt;&gt;"","Exclude",IF(AND($M352&lt;&gt;"Full address",$R352=""),"Needs address",IF($J352&lt;0.5,"Hold - low volume",IF(LEFT($W352,3)="Low","Verify address",IF($G352="Needs review","Needs premise review",IF($X352="Estimated","Ready - address estimated","Ready"))))))</f>
        <v>Needs address</v>
      </c>
      <c r="P352" s="5"/>
      <c r="Q352" s="5" t="s">
        <v>45</v>
      </c>
      <c r="R352" s="5"/>
      <c r="S352" s="5"/>
      <c r="T352" s="7"/>
      <c r="U352" s="7"/>
      <c r="V352" s="5"/>
      <c r="W352" s="5"/>
      <c r="X352" s="5" t="s">
        <v>3</v>
      </c>
      <c r="Y352" s="8" t="str">
        <f aca="false">IF($C352&lt;&gt;"",TRIM($C352&amp;", "&amp;$D352&amp;", "&amp;$E352&amp;" "&amp;$F352),IF($R352&lt;&gt;"",$R352,IF($D352&lt;&gt;"",$D352&amp;", "&amp;$E352,$I352)))</f>
        <v>Balch Springs, TX</v>
      </c>
    </row>
    <row r="353" customFormat="false" ht="15" hidden="false" customHeight="true" outlineLevel="0" collapsed="false">
      <c r="A353" s="5" t="s">
        <v>1270</v>
      </c>
      <c r="B353" s="5" t="s">
        <v>1271</v>
      </c>
      <c r="C353" s="5"/>
      <c r="D353" s="5" t="s">
        <v>1272</v>
      </c>
      <c r="E353" s="5" t="s">
        <v>40</v>
      </c>
      <c r="F353" s="5"/>
      <c r="G353" s="5" t="s">
        <v>31</v>
      </c>
      <c r="H353" s="5" t="s">
        <v>41</v>
      </c>
      <c r="I353" s="5" t="s">
        <v>42</v>
      </c>
      <c r="J353" s="6" t="n">
        <v>1</v>
      </c>
      <c r="K353" s="5" t="s">
        <v>319</v>
      </c>
      <c r="L353" s="5" t="n">
        <f aca="false">IF($K353="",0,LEN($K353)-LEN(SUBSTITUTE($K353,",",""))+1)</f>
        <v>1</v>
      </c>
      <c r="M353" s="5" t="s">
        <v>44</v>
      </c>
      <c r="N353" s="5" t="str">
        <f aca="false">TRIM($A353&amp;" "&amp;IF($C353="",$R353,$C353&amp;" "&amp;$D353&amp;" "&amp;$E353&amp;" "&amp;$F353))</f>
        <v>I-35 LIQUOR DEPOT (KMY)</v>
      </c>
      <c r="O353" s="5" t="str">
        <f aca="false">IF($P353&lt;&gt;"","Exclude",IF(AND($M353&lt;&gt;"Full address",$R353=""),"Needs address",IF($J353&lt;0.5,"Hold - low volume",IF(LEFT($W353,3)="Low","Verify address",IF($G353="Needs review","Needs premise review",IF($X353="Estimated","Ready - address estimated","Ready"))))))</f>
        <v>Needs address</v>
      </c>
      <c r="P353" s="5"/>
      <c r="Q353" s="5" t="s">
        <v>45</v>
      </c>
      <c r="R353" s="5"/>
      <c r="S353" s="5"/>
      <c r="T353" s="7"/>
      <c r="U353" s="7"/>
      <c r="V353" s="5"/>
      <c r="W353" s="5"/>
      <c r="X353" s="5" t="s">
        <v>3</v>
      </c>
      <c r="Y353" s="8" t="str">
        <f aca="false">IF($C353&lt;&gt;"",TRIM($C353&amp;", "&amp;$D353&amp;", "&amp;$E353&amp;" "&amp;$F353),IF($R353&lt;&gt;"",$R353,IF($D353&lt;&gt;"",$D353&amp;", "&amp;$E353,$I353)))</f>
        <v>Alvarado, TX</v>
      </c>
    </row>
    <row r="354" customFormat="false" ht="15" hidden="false" customHeight="true" outlineLevel="0" collapsed="false">
      <c r="A354" s="5" t="s">
        <v>1273</v>
      </c>
      <c r="B354" s="5" t="s">
        <v>1273</v>
      </c>
      <c r="C354" s="5"/>
      <c r="D354" s="5" t="s">
        <v>39</v>
      </c>
      <c r="E354" s="5" t="s">
        <v>40</v>
      </c>
      <c r="F354" s="5"/>
      <c r="G354" s="5" t="s">
        <v>31</v>
      </c>
      <c r="H354" s="5" t="s">
        <v>41</v>
      </c>
      <c r="I354" s="5" t="s">
        <v>42</v>
      </c>
      <c r="J354" s="6" t="n">
        <v>1</v>
      </c>
      <c r="K354" s="5" t="s">
        <v>426</v>
      </c>
      <c r="L354" s="5" t="n">
        <f aca="false">IF($K354="",0,LEN($K354)-LEN(SUBSTITUTE($K354,",",""))+1)</f>
        <v>1</v>
      </c>
      <c r="M354" s="5" t="s">
        <v>44</v>
      </c>
      <c r="N354" s="5" t="str">
        <f aca="false">TRIM($A354&amp;" "&amp;IF($C354="",$R354,$C354&amp;" "&amp;$D354&amp;" "&amp;$E354&amp;" "&amp;$F354))</f>
        <v>LUCKY'S SPIRITS WINE &amp; GIFTS</v>
      </c>
      <c r="O354" s="5" t="str">
        <f aca="false">IF($P354&lt;&gt;"","Exclude",IF(AND($M354&lt;&gt;"Full address",$R354=""),"Needs address",IF($J354&lt;0.5,"Hold - low volume",IF(LEFT($W354,3)="Low","Verify address",IF($G354="Needs review","Needs premise review",IF($X354="Estimated","Ready - address estimated","Ready"))))))</f>
        <v>Needs address</v>
      </c>
      <c r="P354" s="5"/>
      <c r="Q354" s="5" t="s">
        <v>45</v>
      </c>
      <c r="R354" s="5"/>
      <c r="S354" s="5"/>
      <c r="T354" s="7"/>
      <c r="U354" s="7"/>
      <c r="V354" s="5"/>
      <c r="W354" s="5"/>
      <c r="X354" s="5" t="s">
        <v>3</v>
      </c>
      <c r="Y354" s="8" t="str">
        <f aca="false">IF($C354&lt;&gt;"",TRIM($C354&amp;", "&amp;$D354&amp;", "&amp;$E354&amp;" "&amp;$F354),IF($R354&lt;&gt;"",$R354,IF($D354&lt;&gt;"",$D354&amp;", "&amp;$E354,$I354)))</f>
        <v>Little Elm, TX</v>
      </c>
    </row>
    <row r="355" customFormat="false" ht="15" hidden="false" customHeight="true" outlineLevel="0" collapsed="false">
      <c r="A355" s="5" t="s">
        <v>1274</v>
      </c>
      <c r="B355" s="5" t="s">
        <v>1274</v>
      </c>
      <c r="C355" s="5"/>
      <c r="D355" s="5" t="s">
        <v>639</v>
      </c>
      <c r="E355" s="5" t="s">
        <v>40</v>
      </c>
      <c r="F355" s="5"/>
      <c r="G355" s="5" t="s">
        <v>31</v>
      </c>
      <c r="H355" s="5" t="s">
        <v>41</v>
      </c>
      <c r="I355" s="5" t="s">
        <v>42</v>
      </c>
      <c r="J355" s="6" t="n">
        <v>1</v>
      </c>
      <c r="K355" s="5" t="s">
        <v>469</v>
      </c>
      <c r="L355" s="5" t="n">
        <f aca="false">IF($K355="",0,LEN($K355)-LEN(SUBSTITUTE($K355,",",""))+1)</f>
        <v>1</v>
      </c>
      <c r="M355" s="5" t="s">
        <v>44</v>
      </c>
      <c r="N355" s="5" t="str">
        <f aca="false">TRIM($A355&amp;" "&amp;IF($C355="",$R355,$C355&amp;" "&amp;$D355&amp;" "&amp;$E355&amp;" "&amp;$F355))</f>
        <v>Liquor Den (Duncan Perry)</v>
      </c>
      <c r="O355" s="5" t="str">
        <f aca="false">IF($P355&lt;&gt;"","Exclude",IF(AND($M355&lt;&gt;"Full address",$R355=""),"Needs address",IF($J355&lt;0.5,"Hold - low volume",IF(LEFT($W355,3)="Low","Verify address",IF($G355="Needs review","Needs premise review",IF($X355="Estimated","Ready - address estimated","Ready"))))))</f>
        <v>Needs address</v>
      </c>
      <c r="P355" s="5"/>
      <c r="Q355" s="5" t="s">
        <v>45</v>
      </c>
      <c r="R355" s="5"/>
      <c r="S355" s="5"/>
      <c r="T355" s="7"/>
      <c r="U355" s="7"/>
      <c r="V355" s="5"/>
      <c r="W355" s="5"/>
      <c r="X355" s="5" t="s">
        <v>3</v>
      </c>
      <c r="Y355" s="8" t="str">
        <f aca="false">IF($C355&lt;&gt;"",TRIM($C355&amp;", "&amp;$D355&amp;", "&amp;$E355&amp;" "&amp;$F355),IF($R355&lt;&gt;"",$R355,IF($D355&lt;&gt;"",$D355&amp;", "&amp;$E355,$I355)))</f>
        <v>Arlington, TX</v>
      </c>
    </row>
    <row r="356" customFormat="false" ht="15" hidden="false" customHeight="true" outlineLevel="0" collapsed="false">
      <c r="A356" s="5" t="s">
        <v>1275</v>
      </c>
      <c r="B356" s="5" t="s">
        <v>1275</v>
      </c>
      <c r="C356" s="5"/>
      <c r="D356" s="5" t="s">
        <v>349</v>
      </c>
      <c r="E356" s="5" t="s">
        <v>40</v>
      </c>
      <c r="F356" s="5"/>
      <c r="G356" s="5" t="s">
        <v>31</v>
      </c>
      <c r="H356" s="5" t="s">
        <v>41</v>
      </c>
      <c r="I356" s="5" t="s">
        <v>42</v>
      </c>
      <c r="J356" s="6" t="n">
        <v>1</v>
      </c>
      <c r="K356" s="5" t="s">
        <v>469</v>
      </c>
      <c r="L356" s="5" t="n">
        <f aca="false">IF($K356="",0,LEN($K356)-LEN(SUBSTITUTE($K356,",",""))+1)</f>
        <v>1</v>
      </c>
      <c r="M356" s="5" t="s">
        <v>44</v>
      </c>
      <c r="N356" s="5" t="str">
        <f aca="false">TRIM($A356&amp;" "&amp;IF($C356="",$R356,$C356&amp;" "&amp;$D356&amp;" "&amp;$E356&amp;" "&amp;$F356))</f>
        <v>Liquor Depot (KMY) Ft Worth (Basswood)</v>
      </c>
      <c r="O356" s="5" t="str">
        <f aca="false">IF($P356&lt;&gt;"","Exclude",IF(AND($M356&lt;&gt;"Full address",$R356=""),"Needs address",IF($J356&lt;0.5,"Hold - low volume",IF(LEFT($W356,3)="Low","Verify address",IF($G356="Needs review","Needs premise review",IF($X356="Estimated","Ready - address estimated","Ready"))))))</f>
        <v>Needs address</v>
      </c>
      <c r="P356" s="5"/>
      <c r="Q356" s="5" t="s">
        <v>45</v>
      </c>
      <c r="R356" s="5"/>
      <c r="S356" s="5"/>
      <c r="T356" s="7"/>
      <c r="U356" s="7"/>
      <c r="V356" s="5"/>
      <c r="W356" s="5"/>
      <c r="X356" s="5" t="s">
        <v>3</v>
      </c>
      <c r="Y356" s="8" t="str">
        <f aca="false">IF($C356&lt;&gt;"",TRIM($C356&amp;", "&amp;$D356&amp;", "&amp;$E356&amp;" "&amp;$F356),IF($R356&lt;&gt;"",$R356,IF($D356&lt;&gt;"",$D356&amp;", "&amp;$E356,$I356)))</f>
        <v>Fort Worth, TX</v>
      </c>
    </row>
    <row r="357" customFormat="false" ht="15" hidden="false" customHeight="true" outlineLevel="0" collapsed="false">
      <c r="A357" s="5" t="s">
        <v>1276</v>
      </c>
      <c r="B357" s="5" t="s">
        <v>1276</v>
      </c>
      <c r="C357" s="5"/>
      <c r="D357" s="5" t="s">
        <v>625</v>
      </c>
      <c r="E357" s="5" t="s">
        <v>40</v>
      </c>
      <c r="F357" s="5"/>
      <c r="G357" s="5" t="s">
        <v>31</v>
      </c>
      <c r="H357" s="5" t="s">
        <v>41</v>
      </c>
      <c r="I357" s="5" t="s">
        <v>42</v>
      </c>
      <c r="J357" s="6" t="n">
        <v>1</v>
      </c>
      <c r="K357" s="5" t="s">
        <v>426</v>
      </c>
      <c r="L357" s="5" t="n">
        <f aca="false">IF($K357="",0,LEN($K357)-LEN(SUBSTITUTE($K357,",",""))+1)</f>
        <v>1</v>
      </c>
      <c r="M357" s="5" t="s">
        <v>44</v>
      </c>
      <c r="N357" s="5" t="str">
        <f aca="false">TRIM($A357&amp;" "&amp;IF($C357="",$R357,$C357&amp;" "&amp;$D357&amp;" "&amp;$E357&amp;" "&amp;$F357))</f>
        <v>Liquor Depot (KMY) Grand Prairie (Tarrant)</v>
      </c>
      <c r="O357" s="5" t="str">
        <f aca="false">IF($P357&lt;&gt;"","Exclude",IF(AND($M357&lt;&gt;"Full address",$R357=""),"Needs address",IF($J357&lt;0.5,"Hold - low volume",IF(LEFT($W357,3)="Low","Verify address",IF($G357="Needs review","Needs premise review",IF($X357="Estimated","Ready - address estimated","Ready"))))))</f>
        <v>Needs address</v>
      </c>
      <c r="P357" s="5"/>
      <c r="Q357" s="5" t="s">
        <v>45</v>
      </c>
      <c r="R357" s="5"/>
      <c r="S357" s="5"/>
      <c r="T357" s="7"/>
      <c r="U357" s="7"/>
      <c r="V357" s="5"/>
      <c r="W357" s="5"/>
      <c r="X357" s="5" t="s">
        <v>3</v>
      </c>
      <c r="Y357" s="8" t="str">
        <f aca="false">IF($C357&lt;&gt;"",TRIM($C357&amp;", "&amp;$D357&amp;", "&amp;$E357&amp;" "&amp;$F357),IF($R357&lt;&gt;"",$R357,IF($D357&lt;&gt;"",$D357&amp;", "&amp;$E357,$I357)))</f>
        <v>Grand Prairie, TX</v>
      </c>
    </row>
    <row r="358" customFormat="false" ht="15" hidden="false" customHeight="true" outlineLevel="0" collapsed="false">
      <c r="A358" s="5" t="s">
        <v>1277</v>
      </c>
      <c r="B358" s="5" t="s">
        <v>1277</v>
      </c>
      <c r="C358" s="5"/>
      <c r="D358" s="5" t="s">
        <v>1278</v>
      </c>
      <c r="E358" s="5" t="s">
        <v>40</v>
      </c>
      <c r="F358" s="5"/>
      <c r="G358" s="5" t="s">
        <v>31</v>
      </c>
      <c r="H358" s="5" t="s">
        <v>41</v>
      </c>
      <c r="I358" s="5" t="s">
        <v>42</v>
      </c>
      <c r="J358" s="6" t="n">
        <v>1</v>
      </c>
      <c r="K358" s="5" t="s">
        <v>469</v>
      </c>
      <c r="L358" s="5" t="n">
        <f aca="false">IF($K358="",0,LEN($K358)-LEN(SUBSTITUTE($K358,",",""))+1)</f>
        <v>1</v>
      </c>
      <c r="M358" s="5" t="s">
        <v>44</v>
      </c>
      <c r="N358" s="5" t="str">
        <f aca="false">TRIM($A358&amp;" "&amp;IF($C358="",$R358,$C358&amp;" "&amp;$D358&amp;" "&amp;$E358&amp;" "&amp;$F358))</f>
        <v>Liquor Depot (KMY) Hebron</v>
      </c>
      <c r="O358" s="5" t="str">
        <f aca="false">IF($P358&lt;&gt;"","Exclude",IF(AND($M358&lt;&gt;"Full address",$R358=""),"Needs address",IF($J358&lt;0.5,"Hold - low volume",IF(LEFT($W358,3)="Low","Verify address",IF($G358="Needs review","Needs premise review",IF($X358="Estimated","Ready - address estimated","Ready"))))))</f>
        <v>Needs address</v>
      </c>
      <c r="P358" s="5"/>
      <c r="Q358" s="5" t="s">
        <v>45</v>
      </c>
      <c r="R358" s="5"/>
      <c r="S358" s="5"/>
      <c r="T358" s="7"/>
      <c r="U358" s="7"/>
      <c r="V358" s="5"/>
      <c r="W358" s="5"/>
      <c r="X358" s="5" t="s">
        <v>3</v>
      </c>
      <c r="Y358" s="8" t="str">
        <f aca="false">IF($C358&lt;&gt;"",TRIM($C358&amp;", "&amp;$D358&amp;", "&amp;$E358&amp;" "&amp;$F358),IF($R358&lt;&gt;"",$R358,IF($D358&lt;&gt;"",$D358&amp;", "&amp;$E358,$I358)))</f>
        <v>Hebron, TX</v>
      </c>
    </row>
    <row r="359" customFormat="false" ht="15" hidden="false" customHeight="true" outlineLevel="0" collapsed="false">
      <c r="A359" s="5" t="s">
        <v>1279</v>
      </c>
      <c r="B359" s="5" t="s">
        <v>1279</v>
      </c>
      <c r="C359" s="5"/>
      <c r="D359" s="5" t="s">
        <v>1280</v>
      </c>
      <c r="E359" s="5" t="s">
        <v>40</v>
      </c>
      <c r="F359" s="5"/>
      <c r="G359" s="5" t="s">
        <v>31</v>
      </c>
      <c r="H359" s="5" t="s">
        <v>157</v>
      </c>
      <c r="I359" s="5" t="s">
        <v>42</v>
      </c>
      <c r="J359" s="6" t="n">
        <v>1</v>
      </c>
      <c r="K359" s="5" t="s">
        <v>469</v>
      </c>
      <c r="L359" s="5" t="n">
        <f aca="false">IF($K359="",0,LEN($K359)-LEN(SUBSTITUTE($K359,",",""))+1)</f>
        <v>1</v>
      </c>
      <c r="M359" s="5" t="s">
        <v>44</v>
      </c>
      <c r="N359" s="5" t="str">
        <f aca="false">TRIM($A359&amp;" "&amp;IF($C359="",$R359,$C359&amp;" "&amp;$D359&amp;" "&amp;$E359&amp;" "&amp;$F359))</f>
        <v>Liquor Lobby (Splendora)</v>
      </c>
      <c r="O359" s="5" t="str">
        <f aca="false">IF($P359&lt;&gt;"","Exclude",IF(AND($M359&lt;&gt;"Full address",$R359=""),"Needs address",IF($J359&lt;0.5,"Hold - low volume",IF(LEFT($W359,3)="Low","Verify address",IF($G359="Needs review","Needs premise review",IF($X359="Estimated","Ready - address estimated","Ready"))))))</f>
        <v>Needs address</v>
      </c>
      <c r="P359" s="5"/>
      <c r="Q359" s="5" t="s">
        <v>45</v>
      </c>
      <c r="R359" s="5"/>
      <c r="S359" s="5"/>
      <c r="T359" s="7"/>
      <c r="U359" s="7"/>
      <c r="V359" s="5"/>
      <c r="W359" s="5"/>
      <c r="X359" s="5" t="s">
        <v>3</v>
      </c>
      <c r="Y359" s="8" t="str">
        <f aca="false">IF($C359&lt;&gt;"",TRIM($C359&amp;", "&amp;$D359&amp;", "&amp;$E359&amp;" "&amp;$F359),IF($R359&lt;&gt;"",$R359,IF($D359&lt;&gt;"",$D359&amp;", "&amp;$E359,$I359)))</f>
        <v>Splendora, TX</v>
      </c>
    </row>
    <row r="360" customFormat="false" ht="15" hidden="false" customHeight="true" outlineLevel="0" collapsed="false">
      <c r="A360" s="5" t="s">
        <v>1281</v>
      </c>
      <c r="B360" s="5" t="s">
        <v>1281</v>
      </c>
      <c r="C360" s="5"/>
      <c r="D360" s="5" t="s">
        <v>388</v>
      </c>
      <c r="E360" s="5" t="s">
        <v>40</v>
      </c>
      <c r="F360" s="5"/>
      <c r="G360" s="5" t="s">
        <v>31</v>
      </c>
      <c r="H360" s="5" t="s">
        <v>41</v>
      </c>
      <c r="I360" s="5" t="s">
        <v>42</v>
      </c>
      <c r="J360" s="6" t="n">
        <v>1</v>
      </c>
      <c r="K360" s="5" t="s">
        <v>469</v>
      </c>
      <c r="L360" s="5" t="n">
        <f aca="false">IF($K360="",0,LEN($K360)-LEN(SUBSTITUTE($K360,",",""))+1)</f>
        <v>1</v>
      </c>
      <c r="M360" s="5" t="s">
        <v>44</v>
      </c>
      <c r="N360" s="5" t="str">
        <f aca="false">TRIM($A360&amp;" "&amp;IF($C360="",$R360,$C360&amp;" "&amp;$D360&amp;" "&amp;$E360&amp;" "&amp;$F360))</f>
        <v>Liquor Royale</v>
      </c>
      <c r="O360" s="5" t="str">
        <f aca="false">IF($P360&lt;&gt;"","Exclude",IF(AND($M360&lt;&gt;"Full address",$R360=""),"Needs address",IF($J360&lt;0.5,"Hold - low volume",IF(LEFT($W360,3)="Low","Verify address",IF($G360="Needs review","Needs premise review",IF($X360="Estimated","Ready - address estimated","Ready"))))))</f>
        <v>Needs address</v>
      </c>
      <c r="P360" s="5"/>
      <c r="Q360" s="5" t="s">
        <v>45</v>
      </c>
      <c r="R360" s="5"/>
      <c r="S360" s="5"/>
      <c r="T360" s="7"/>
      <c r="U360" s="7"/>
      <c r="V360" s="5"/>
      <c r="W360" s="5"/>
      <c r="X360" s="5" t="s">
        <v>3</v>
      </c>
      <c r="Y360" s="8" t="str">
        <f aca="false">IF($C360&lt;&gt;"",TRIM($C360&amp;", "&amp;$D360&amp;", "&amp;$E360&amp;" "&amp;$F360),IF($R360&lt;&gt;"",$R360,IF($D360&lt;&gt;"",$D360&amp;", "&amp;$E360,$I360)))</f>
        <v>Irving, TX</v>
      </c>
    </row>
    <row r="361" customFormat="false" ht="15" hidden="false" customHeight="true" outlineLevel="0" collapsed="false">
      <c r="A361" s="5" t="s">
        <v>1282</v>
      </c>
      <c r="B361" s="5" t="s">
        <v>1282</v>
      </c>
      <c r="C361" s="5"/>
      <c r="D361" s="5" t="s">
        <v>1283</v>
      </c>
      <c r="E361" s="5" t="s">
        <v>40</v>
      </c>
      <c r="F361" s="5"/>
      <c r="G361" s="5" t="s">
        <v>144</v>
      </c>
      <c r="H361" s="5" t="s">
        <v>41</v>
      </c>
      <c r="I361" s="5" t="s">
        <v>42</v>
      </c>
      <c r="J361" s="6" t="n">
        <v>1</v>
      </c>
      <c r="K361" s="5" t="s">
        <v>76</v>
      </c>
      <c r="L361" s="5" t="n">
        <f aca="false">IF($K361="",0,LEN($K361)-LEN(SUBSTITUTE($K361,",",""))+1)</f>
        <v>1</v>
      </c>
      <c r="M361" s="5" t="s">
        <v>44</v>
      </c>
      <c r="N361" s="5" t="str">
        <f aca="false">TRIM($A361&amp;" "&amp;IF($C361="",$R361,$C361&amp;" "&amp;$D361&amp;" "&amp;$E361&amp;" "&amp;$F361))</f>
        <v>Liquorland - Argyle Corral City</v>
      </c>
      <c r="O361" s="5" t="str">
        <f aca="false">IF($P361&lt;&gt;"","Exclude",IF(AND($M361&lt;&gt;"Full address",$R361=""),"Needs address",IF($J361&lt;0.5,"Hold - low volume",IF(LEFT($W361,3)="Low","Verify address",IF($G361="Needs review","Needs premise review",IF($X361="Estimated","Ready - address estimated","Ready"))))))</f>
        <v>Needs address</v>
      </c>
      <c r="P361" s="5"/>
      <c r="Q361" s="5" t="s">
        <v>45</v>
      </c>
      <c r="R361" s="5"/>
      <c r="S361" s="5"/>
      <c r="T361" s="7"/>
      <c r="U361" s="7"/>
      <c r="V361" s="5"/>
      <c r="W361" s="5"/>
      <c r="X361" s="5" t="s">
        <v>3</v>
      </c>
      <c r="Y361" s="8" t="str">
        <f aca="false">IF($C361&lt;&gt;"",TRIM($C361&amp;", "&amp;$D361&amp;", "&amp;$E361&amp;" "&amp;$F361),IF($R361&lt;&gt;"",$R361,IF($D361&lt;&gt;"",$D361&amp;", "&amp;$E361,$I361)))</f>
        <v>Argyle, TX</v>
      </c>
    </row>
    <row r="362" customFormat="false" ht="15" hidden="false" customHeight="true" outlineLevel="0" collapsed="false">
      <c r="A362" s="5" t="s">
        <v>1284</v>
      </c>
      <c r="B362" s="5" t="s">
        <v>1284</v>
      </c>
      <c r="C362" s="5"/>
      <c r="D362" s="5" t="s">
        <v>349</v>
      </c>
      <c r="E362" s="5" t="s">
        <v>40</v>
      </c>
      <c r="F362" s="5"/>
      <c r="G362" s="5" t="s">
        <v>144</v>
      </c>
      <c r="H362" s="5" t="s">
        <v>41</v>
      </c>
      <c r="I362" s="5" t="s">
        <v>42</v>
      </c>
      <c r="J362" s="6" t="n">
        <v>1</v>
      </c>
      <c r="K362" s="5" t="s">
        <v>76</v>
      </c>
      <c r="L362" s="5" t="n">
        <f aca="false">IF($K362="",0,LEN($K362)-LEN(SUBSTITUTE($K362,",",""))+1)</f>
        <v>1</v>
      </c>
      <c r="M362" s="5" t="s">
        <v>44</v>
      </c>
      <c r="N362" s="5" t="str">
        <f aca="false">TRIM($A362&amp;" "&amp;IF($C362="",$R362,$C362&amp;" "&amp;$D362&amp;" "&amp;$E362&amp;" "&amp;$F362))</f>
        <v>Liquorland - Ft Worth Tarrant</v>
      </c>
      <c r="O362" s="5" t="str">
        <f aca="false">IF($P362&lt;&gt;"","Exclude",IF(AND($M362&lt;&gt;"Full address",$R362=""),"Needs address",IF($J362&lt;0.5,"Hold - low volume",IF(LEFT($W362,3)="Low","Verify address",IF($G362="Needs review","Needs premise review",IF($X362="Estimated","Ready - address estimated","Ready"))))))</f>
        <v>Needs address</v>
      </c>
      <c r="P362" s="5"/>
      <c r="Q362" s="5" t="s">
        <v>45</v>
      </c>
      <c r="R362" s="5"/>
      <c r="S362" s="5"/>
      <c r="T362" s="7"/>
      <c r="U362" s="7"/>
      <c r="V362" s="5"/>
      <c r="W362" s="5"/>
      <c r="X362" s="5" t="s">
        <v>3</v>
      </c>
      <c r="Y362" s="8" t="str">
        <f aca="false">IF($C362&lt;&gt;"",TRIM($C362&amp;", "&amp;$D362&amp;", "&amp;$E362&amp;" "&amp;$F362),IF($R362&lt;&gt;"",$R362,IF($D362&lt;&gt;"",$D362&amp;", "&amp;$E362,$I362)))</f>
        <v>Fort Worth, TX</v>
      </c>
    </row>
    <row r="363" customFormat="false" ht="15" hidden="false" customHeight="true" outlineLevel="0" collapsed="false">
      <c r="A363" s="5" t="s">
        <v>1285</v>
      </c>
      <c r="B363" s="5" t="s">
        <v>1285</v>
      </c>
      <c r="C363" s="5"/>
      <c r="D363" s="5" t="s">
        <v>1286</v>
      </c>
      <c r="E363" s="5" t="s">
        <v>40</v>
      </c>
      <c r="F363" s="5"/>
      <c r="G363" s="5" t="s">
        <v>144</v>
      </c>
      <c r="H363" s="5" t="s">
        <v>41</v>
      </c>
      <c r="I363" s="5" t="s">
        <v>42</v>
      </c>
      <c r="J363" s="6" t="n">
        <v>1</v>
      </c>
      <c r="K363" s="5" t="s">
        <v>76</v>
      </c>
      <c r="L363" s="5" t="n">
        <f aca="false">IF($K363="",0,LEN($K363)-LEN(SUBSTITUTE($K363,",",""))+1)</f>
        <v>1</v>
      </c>
      <c r="M363" s="5" t="s">
        <v>44</v>
      </c>
      <c r="N363" s="5" t="str">
        <f aca="false">TRIM($A363&amp;" "&amp;IF($C363="",$R363,$C363&amp;" "&amp;$D363&amp;" "&amp;$E363&amp;" "&amp;$F363))</f>
        <v>Liquorland - Watauga Rufe Snow</v>
      </c>
      <c r="O363" s="5" t="str">
        <f aca="false">IF($P363&lt;&gt;"","Exclude",IF(AND($M363&lt;&gt;"Full address",$R363=""),"Needs address",IF($J363&lt;0.5,"Hold - low volume",IF(LEFT($W363,3)="Low","Verify address",IF($G363="Needs review","Needs premise review",IF($X363="Estimated","Ready - address estimated","Ready"))))))</f>
        <v>Needs address</v>
      </c>
      <c r="P363" s="5"/>
      <c r="Q363" s="5" t="s">
        <v>45</v>
      </c>
      <c r="R363" s="5"/>
      <c r="S363" s="5"/>
      <c r="T363" s="7"/>
      <c r="U363" s="7"/>
      <c r="V363" s="5"/>
      <c r="W363" s="5"/>
      <c r="X363" s="5" t="s">
        <v>3</v>
      </c>
      <c r="Y363" s="8" t="str">
        <f aca="false">IF($C363&lt;&gt;"",TRIM($C363&amp;", "&amp;$D363&amp;", "&amp;$E363&amp;" "&amp;$F363),IF($R363&lt;&gt;"",$R363,IF($D363&lt;&gt;"",$D363&amp;", "&amp;$E363,$I363)))</f>
        <v>Watauga, TX</v>
      </c>
    </row>
    <row r="364" customFormat="false" ht="15" hidden="false" customHeight="true" outlineLevel="0" collapsed="false">
      <c r="A364" s="5" t="s">
        <v>1287</v>
      </c>
      <c r="B364" s="5" t="s">
        <v>1287</v>
      </c>
      <c r="C364" s="5"/>
      <c r="D364" s="5" t="s">
        <v>1288</v>
      </c>
      <c r="E364" s="5" t="s">
        <v>40</v>
      </c>
      <c r="F364" s="5"/>
      <c r="G364" s="5" t="s">
        <v>31</v>
      </c>
      <c r="H364" s="5" t="s">
        <v>157</v>
      </c>
      <c r="I364" s="5" t="s">
        <v>42</v>
      </c>
      <c r="J364" s="6" t="n">
        <v>1</v>
      </c>
      <c r="K364" s="5" t="s">
        <v>76</v>
      </c>
      <c r="L364" s="5" t="n">
        <f aca="false">IF($K364="",0,LEN($K364)-LEN(SUBSTITUTE($K364,",",""))+1)</f>
        <v>1</v>
      </c>
      <c r="M364" s="5" t="s">
        <v>44</v>
      </c>
      <c r="N364" s="5" t="str">
        <f aca="false">TRIM($A364&amp;" "&amp;IF($C364="",$R364,$C364&amp;" "&amp;$D364&amp;" "&amp;$E364&amp;" "&amp;$F364))</f>
        <v>Mikey's Liquor Store</v>
      </c>
      <c r="O364" s="5" t="str">
        <f aca="false">IF($P364&lt;&gt;"","Exclude",IF(AND($M364&lt;&gt;"Full address",$R364=""),"Needs address",IF($J364&lt;0.5,"Hold - low volume",IF(LEFT($W364,3)="Low","Verify address",IF($G364="Needs review","Needs premise review",IF($X364="Estimated","Ready - address estimated","Ready"))))))</f>
        <v>Needs address</v>
      </c>
      <c r="P364" s="5"/>
      <c r="Q364" s="5" t="s">
        <v>45</v>
      </c>
      <c r="R364" s="5"/>
      <c r="S364" s="5"/>
      <c r="T364" s="7"/>
      <c r="U364" s="7"/>
      <c r="V364" s="5"/>
      <c r="W364" s="5"/>
      <c r="X364" s="5" t="s">
        <v>3</v>
      </c>
      <c r="Y364" s="8" t="str">
        <f aca="false">IF($C364&lt;&gt;"",TRIM($C364&amp;", "&amp;$D364&amp;", "&amp;$E364&amp;" "&amp;$F364),IF($R364&lt;&gt;"",$R364,IF($D364&lt;&gt;"",$D364&amp;", "&amp;$E364,$I364)))</f>
        <v>Pampa, TX</v>
      </c>
    </row>
    <row r="365" customFormat="false" ht="15" hidden="false" customHeight="true" outlineLevel="0" collapsed="false">
      <c r="A365" s="5" t="s">
        <v>1289</v>
      </c>
      <c r="B365" s="5" t="s">
        <v>1289</v>
      </c>
      <c r="C365" s="5"/>
      <c r="D365" s="5" t="s">
        <v>308</v>
      </c>
      <c r="E365" s="5" t="s">
        <v>40</v>
      </c>
      <c r="F365" s="5"/>
      <c r="G365" s="5" t="s">
        <v>144</v>
      </c>
      <c r="H365" s="5" t="s">
        <v>157</v>
      </c>
      <c r="I365" s="5" t="s">
        <v>42</v>
      </c>
      <c r="J365" s="6" t="n">
        <v>1</v>
      </c>
      <c r="K365" s="5" t="s">
        <v>76</v>
      </c>
      <c r="L365" s="5" t="n">
        <f aca="false">IF($K365="",0,LEN($K365)-LEN(SUBSTITUTE($K365,",",""))+1)</f>
        <v>1</v>
      </c>
      <c r="M365" s="5" t="s">
        <v>44</v>
      </c>
      <c r="N365" s="5" t="str">
        <f aca="false">TRIM($A365&amp;" "&amp;IF($C365="",$R365,$C365&amp;" "&amp;$D365&amp;" "&amp;$E365&amp;" "&amp;$F365))</f>
        <v>Party Stop # 4</v>
      </c>
      <c r="O365" s="5" t="str">
        <f aca="false">IF($P365&lt;&gt;"","Exclude",IF(AND($M365&lt;&gt;"Full address",$R365=""),"Needs address",IF($J365&lt;0.5,"Hold - low volume",IF(LEFT($W365,3)="Low","Verify address",IF($G365="Needs review","Needs premise review",IF($X365="Estimated","Ready - address estimated","Ready"))))))</f>
        <v>Needs address</v>
      </c>
      <c r="P365" s="5"/>
      <c r="Q365" s="5" t="s">
        <v>45</v>
      </c>
      <c r="R365" s="5"/>
      <c r="S365" s="5"/>
      <c r="T365" s="7"/>
      <c r="U365" s="7"/>
      <c r="V365" s="5"/>
      <c r="W365" s="5"/>
      <c r="X365" s="5" t="s">
        <v>3</v>
      </c>
      <c r="Y365" s="8" t="str">
        <f aca="false">IF($C365&lt;&gt;"",TRIM($C365&amp;", "&amp;$D365&amp;", "&amp;$E365&amp;" "&amp;$F365),IF($R365&lt;&gt;"",$R365,IF($D365&lt;&gt;"",$D365&amp;", "&amp;$E365,$I365)))</f>
        <v>Amarillo, TX</v>
      </c>
    </row>
    <row r="366" customFormat="false" ht="15" hidden="false" customHeight="true" outlineLevel="0" collapsed="false">
      <c r="A366" s="5" t="s">
        <v>1290</v>
      </c>
      <c r="B366" s="5" t="s">
        <v>1290</v>
      </c>
      <c r="C366" s="5"/>
      <c r="D366" s="5" t="s">
        <v>308</v>
      </c>
      <c r="E366" s="5" t="s">
        <v>40</v>
      </c>
      <c r="F366" s="5"/>
      <c r="G366" s="5" t="s">
        <v>144</v>
      </c>
      <c r="H366" s="5" t="s">
        <v>157</v>
      </c>
      <c r="I366" s="5" t="s">
        <v>42</v>
      </c>
      <c r="J366" s="6" t="n">
        <v>1</v>
      </c>
      <c r="K366" s="5" t="s">
        <v>76</v>
      </c>
      <c r="L366" s="5" t="n">
        <f aca="false">IF($K366="",0,LEN($K366)-LEN(SUBSTITUTE($K366,",",""))+1)</f>
        <v>1</v>
      </c>
      <c r="M366" s="5" t="s">
        <v>44</v>
      </c>
      <c r="N366" s="5" t="str">
        <f aca="false">TRIM($A366&amp;" "&amp;IF($C366="",$R366,$C366&amp;" "&amp;$D366&amp;" "&amp;$E366&amp;" "&amp;$F366))</f>
        <v>Party Stop # 6</v>
      </c>
      <c r="O366" s="5" t="str">
        <f aca="false">IF($P366&lt;&gt;"","Exclude",IF(AND($M366&lt;&gt;"Full address",$R366=""),"Needs address",IF($J366&lt;0.5,"Hold - low volume",IF(LEFT($W366,3)="Low","Verify address",IF($G366="Needs review","Needs premise review",IF($X366="Estimated","Ready - address estimated","Ready"))))))</f>
        <v>Needs address</v>
      </c>
      <c r="P366" s="5"/>
      <c r="Q366" s="5" t="s">
        <v>45</v>
      </c>
      <c r="R366" s="5"/>
      <c r="S366" s="5"/>
      <c r="T366" s="7"/>
      <c r="U366" s="7"/>
      <c r="V366" s="5"/>
      <c r="W366" s="5"/>
      <c r="X366" s="5" t="s">
        <v>3</v>
      </c>
      <c r="Y366" s="8" t="str">
        <f aca="false">IF($C366&lt;&gt;"",TRIM($C366&amp;", "&amp;$D366&amp;", "&amp;$E366&amp;" "&amp;$F366),IF($R366&lt;&gt;"",$R366,IF($D366&lt;&gt;"",$D366&amp;", "&amp;$E366,$I366)))</f>
        <v>Amarillo, TX</v>
      </c>
    </row>
    <row r="367" customFormat="false" ht="15" hidden="false" customHeight="true" outlineLevel="0" collapsed="false">
      <c r="A367" s="5" t="s">
        <v>1291</v>
      </c>
      <c r="B367" s="5" t="s">
        <v>1291</v>
      </c>
      <c r="C367" s="5"/>
      <c r="D367" s="5" t="s">
        <v>879</v>
      </c>
      <c r="E367" s="5" t="s">
        <v>40</v>
      </c>
      <c r="F367" s="5"/>
      <c r="G367" s="5" t="s">
        <v>144</v>
      </c>
      <c r="H367" s="5" t="s">
        <v>157</v>
      </c>
      <c r="I367" s="5" t="s">
        <v>42</v>
      </c>
      <c r="J367" s="6" t="n">
        <v>1</v>
      </c>
      <c r="K367" s="5" t="s">
        <v>76</v>
      </c>
      <c r="L367" s="5" t="n">
        <f aca="false">IF($K367="",0,LEN($K367)-LEN(SUBSTITUTE($K367,",",""))+1)</f>
        <v>1</v>
      </c>
      <c r="M367" s="5" t="s">
        <v>44</v>
      </c>
      <c r="N367" s="5" t="str">
        <f aca="false">TRIM($A367&amp;" "&amp;IF($C367="",$R367,$C367&amp;" "&amp;$D367&amp;" "&amp;$E367&amp;" "&amp;$F367))</f>
        <v>Pinkie's #36 (San Angelo)</v>
      </c>
      <c r="O367" s="5" t="str">
        <f aca="false">IF($P367&lt;&gt;"","Exclude",IF(AND($M367&lt;&gt;"Full address",$R367=""),"Needs address",IF($J367&lt;0.5,"Hold - low volume",IF(LEFT($W367,3)="Low","Verify address",IF($G367="Needs review","Needs premise review",IF($X367="Estimated","Ready - address estimated","Ready"))))))</f>
        <v>Needs address</v>
      </c>
      <c r="P367" s="5"/>
      <c r="Q367" s="5" t="s">
        <v>45</v>
      </c>
      <c r="R367" s="5"/>
      <c r="S367" s="5"/>
      <c r="T367" s="7"/>
      <c r="U367" s="7"/>
      <c r="V367" s="5"/>
      <c r="W367" s="5"/>
      <c r="X367" s="5" t="s">
        <v>3</v>
      </c>
      <c r="Y367" s="8" t="str">
        <f aca="false">IF($C367&lt;&gt;"",TRIM($C367&amp;", "&amp;$D367&amp;", "&amp;$E367&amp;" "&amp;$F367),IF($R367&lt;&gt;"",$R367,IF($D367&lt;&gt;"",$D367&amp;", "&amp;$E367,$I367)))</f>
        <v>San Angelo, TX</v>
      </c>
    </row>
    <row r="368" customFormat="false" ht="15" hidden="false" customHeight="true" outlineLevel="0" collapsed="false">
      <c r="A368" s="5" t="s">
        <v>1292</v>
      </c>
      <c r="B368" s="5" t="s">
        <v>1292</v>
      </c>
      <c r="C368" s="5"/>
      <c r="D368" s="5" t="s">
        <v>1234</v>
      </c>
      <c r="E368" s="5" t="s">
        <v>40</v>
      </c>
      <c r="F368" s="5"/>
      <c r="G368" s="5" t="s">
        <v>144</v>
      </c>
      <c r="H368" s="5" t="s">
        <v>157</v>
      </c>
      <c r="I368" s="5" t="s">
        <v>42</v>
      </c>
      <c r="J368" s="6" t="n">
        <v>1</v>
      </c>
      <c r="K368" s="5" t="s">
        <v>76</v>
      </c>
      <c r="L368" s="5" t="n">
        <f aca="false">IF($K368="",0,LEN($K368)-LEN(SUBSTITUTE($K368,",",""))+1)</f>
        <v>1</v>
      </c>
      <c r="M368" s="5" t="s">
        <v>44</v>
      </c>
      <c r="N368" s="5" t="str">
        <f aca="false">TRIM($A368&amp;" "&amp;IF($C368="",$R368,$C368&amp;" "&amp;$D368&amp;" "&amp;$E368&amp;" "&amp;$F368))</f>
        <v>Pinkie's #73 (Midland)</v>
      </c>
      <c r="O368" s="5" t="str">
        <f aca="false">IF($P368&lt;&gt;"","Exclude",IF(AND($M368&lt;&gt;"Full address",$R368=""),"Needs address",IF($J368&lt;0.5,"Hold - low volume",IF(LEFT($W368,3)="Low","Verify address",IF($G368="Needs review","Needs premise review",IF($X368="Estimated","Ready - address estimated","Ready"))))))</f>
        <v>Needs address</v>
      </c>
      <c r="P368" s="5"/>
      <c r="Q368" s="5" t="s">
        <v>45</v>
      </c>
      <c r="R368" s="5"/>
      <c r="S368" s="5"/>
      <c r="T368" s="7"/>
      <c r="U368" s="7"/>
      <c r="V368" s="5"/>
      <c r="W368" s="5"/>
      <c r="X368" s="5" t="s">
        <v>3</v>
      </c>
      <c r="Y368" s="8" t="str">
        <f aca="false">IF($C368&lt;&gt;"",TRIM($C368&amp;", "&amp;$D368&amp;", "&amp;$E368&amp;" "&amp;$F368),IF($R368&lt;&gt;"",$R368,IF($D368&lt;&gt;"",$D368&amp;", "&amp;$E368,$I368)))</f>
        <v>Midland, TX</v>
      </c>
    </row>
    <row r="369" customFormat="false" ht="15" hidden="false" customHeight="true" outlineLevel="0" collapsed="false">
      <c r="A369" s="5" t="s">
        <v>1293</v>
      </c>
      <c r="B369" s="5" t="s">
        <v>1293</v>
      </c>
      <c r="C369" s="5"/>
      <c r="D369" s="5" t="s">
        <v>308</v>
      </c>
      <c r="E369" s="5" t="s">
        <v>40</v>
      </c>
      <c r="F369" s="5"/>
      <c r="G369" s="5" t="s">
        <v>144</v>
      </c>
      <c r="H369" s="5" t="s">
        <v>157</v>
      </c>
      <c r="I369" s="5" t="s">
        <v>42</v>
      </c>
      <c r="J369" s="6" t="n">
        <v>1</v>
      </c>
      <c r="K369" s="5" t="s">
        <v>76</v>
      </c>
      <c r="L369" s="5" t="n">
        <f aca="false">IF($K369="",0,LEN($K369)-LEN(SUBSTITUTE($K369,",",""))+1)</f>
        <v>1</v>
      </c>
      <c r="M369" s="5" t="s">
        <v>44</v>
      </c>
      <c r="N369" s="5" t="str">
        <f aca="false">TRIM($A369&amp;" "&amp;IF($C369="",$R369,$C369&amp;" "&amp;$D369&amp;" "&amp;$E369&amp;" "&amp;$F369))</f>
        <v>Pinkie's #96 (Amarillo)</v>
      </c>
      <c r="O369" s="5" t="str">
        <f aca="false">IF($P369&lt;&gt;"","Exclude",IF(AND($M369&lt;&gt;"Full address",$R369=""),"Needs address",IF($J369&lt;0.5,"Hold - low volume",IF(LEFT($W369,3)="Low","Verify address",IF($G369="Needs review","Needs premise review",IF($X369="Estimated","Ready - address estimated","Ready"))))))</f>
        <v>Needs address</v>
      </c>
      <c r="P369" s="5"/>
      <c r="Q369" s="5" t="s">
        <v>45</v>
      </c>
      <c r="R369" s="5"/>
      <c r="S369" s="5"/>
      <c r="T369" s="7"/>
      <c r="U369" s="7"/>
      <c r="V369" s="5"/>
      <c r="W369" s="5"/>
      <c r="X369" s="5" t="s">
        <v>3</v>
      </c>
      <c r="Y369" s="8" t="str">
        <f aca="false">IF($C369&lt;&gt;"",TRIM($C369&amp;", "&amp;$D369&amp;", "&amp;$E369&amp;" "&amp;$F369),IF($R369&lt;&gt;"",$R369,IF($D369&lt;&gt;"",$D369&amp;", "&amp;$E369,$I369)))</f>
        <v>Amarillo, TX</v>
      </c>
    </row>
    <row r="370" customFormat="false" ht="15" hidden="false" customHeight="true" outlineLevel="0" collapsed="false">
      <c r="A370" s="5" t="s">
        <v>1294</v>
      </c>
      <c r="B370" s="5" t="s">
        <v>1294</v>
      </c>
      <c r="C370" s="5"/>
      <c r="D370" s="5" t="s">
        <v>1295</v>
      </c>
      <c r="E370" s="5" t="s">
        <v>40</v>
      </c>
      <c r="F370" s="5"/>
      <c r="G370" s="5" t="s">
        <v>31</v>
      </c>
      <c r="H370" s="5" t="s">
        <v>157</v>
      </c>
      <c r="I370" s="5" t="s">
        <v>42</v>
      </c>
      <c r="J370" s="6" t="n">
        <v>1</v>
      </c>
      <c r="K370" s="5" t="s">
        <v>469</v>
      </c>
      <c r="L370" s="5" t="n">
        <f aca="false">IF($K370="",0,LEN($K370)-LEN(SUBSTITUTE($K370,",",""))+1)</f>
        <v>1</v>
      </c>
      <c r="M370" s="5" t="s">
        <v>44</v>
      </c>
      <c r="N370" s="5" t="str">
        <f aca="false">TRIM($A370&amp;" "&amp;IF($C370="",$R370,$C370&amp;" "&amp;$D370&amp;" "&amp;$E370&amp;" "&amp;$F370))</f>
        <v>Ralston Discount Liquors #213</v>
      </c>
      <c r="O370" s="5" t="str">
        <f aca="false">IF($P370&lt;&gt;"","Exclude",IF(AND($M370&lt;&gt;"Full address",$R370=""),"Needs address",IF($J370&lt;0.5,"Hold - low volume",IF(LEFT($W370,3)="Low","Verify address",IF($G370="Needs review","Needs premise review",IF($X370="Estimated","Ready - address estimated","Ready"))))))</f>
        <v>Needs address</v>
      </c>
      <c r="P370" s="5"/>
      <c r="Q370" s="5" t="s">
        <v>45</v>
      </c>
      <c r="R370" s="5"/>
      <c r="S370" s="5"/>
      <c r="T370" s="7"/>
      <c r="U370" s="7"/>
      <c r="V370" s="5"/>
      <c r="W370" s="5"/>
      <c r="X370" s="5" t="s">
        <v>3</v>
      </c>
      <c r="Y370" s="8" t="str">
        <f aca="false">IF($C370&lt;&gt;"",TRIM($C370&amp;", "&amp;$D370&amp;", "&amp;$E370&amp;" "&amp;$F370),IF($R370&lt;&gt;"",$R370,IF($D370&lt;&gt;"",$D370&amp;", "&amp;$E370,$I370)))</f>
        <v>Jacinto City, TX</v>
      </c>
    </row>
    <row r="371" customFormat="false" ht="15" hidden="false" customHeight="true" outlineLevel="0" collapsed="false">
      <c r="A371" s="5" t="s">
        <v>1296</v>
      </c>
      <c r="B371" s="5" t="s">
        <v>1296</v>
      </c>
      <c r="C371" s="5"/>
      <c r="D371" s="5" t="s">
        <v>855</v>
      </c>
      <c r="E371" s="5" t="s">
        <v>40</v>
      </c>
      <c r="F371" s="5"/>
      <c r="G371" s="5" t="s">
        <v>31</v>
      </c>
      <c r="H371" s="5" t="s">
        <v>157</v>
      </c>
      <c r="I371" s="5" t="s">
        <v>42</v>
      </c>
      <c r="J371" s="6" t="n">
        <v>1</v>
      </c>
      <c r="K371" s="5" t="s">
        <v>426</v>
      </c>
      <c r="L371" s="5" t="n">
        <f aca="false">IF($K371="",0,LEN($K371)-LEN(SUBSTITUTE($K371,",",""))+1)</f>
        <v>1</v>
      </c>
      <c r="M371" s="5" t="s">
        <v>44</v>
      </c>
      <c r="N371" s="5" t="str">
        <f aca="false">TRIM($A371&amp;" "&amp;IF($C371="",$R371,$C371&amp;" "&amp;$D371&amp;" "&amp;$E371&amp;" "&amp;$F371))</f>
        <v>Ralston Discount Liquors #233</v>
      </c>
      <c r="O371" s="5" t="str">
        <f aca="false">IF($P371&lt;&gt;"","Exclude",IF(AND($M371&lt;&gt;"Full address",$R371=""),"Needs address",IF($J371&lt;0.5,"Hold - low volume",IF(LEFT($W371,3)="Low","Verify address",IF($G371="Needs review","Needs premise review",IF($X371="Estimated","Ready - address estimated","Ready"))))))</f>
        <v>Needs address</v>
      </c>
      <c r="P371" s="5"/>
      <c r="Q371" s="5" t="s">
        <v>45</v>
      </c>
      <c r="R371" s="5"/>
      <c r="S371" s="5"/>
      <c r="T371" s="7"/>
      <c r="U371" s="7"/>
      <c r="V371" s="5"/>
      <c r="W371" s="5"/>
      <c r="X371" s="5" t="s">
        <v>3</v>
      </c>
      <c r="Y371" s="8" t="str">
        <f aca="false">IF($C371&lt;&gt;"",TRIM($C371&amp;", "&amp;$D371&amp;", "&amp;$E371&amp;" "&amp;$F371),IF($R371&lt;&gt;"",$R371,IF($D371&lt;&gt;"",$D371&amp;", "&amp;$E371,$I371)))</f>
        <v>Houston, TX</v>
      </c>
    </row>
    <row r="372" customFormat="false" ht="15" hidden="false" customHeight="true" outlineLevel="0" collapsed="false">
      <c r="A372" s="5" t="s">
        <v>1297</v>
      </c>
      <c r="B372" s="5" t="s">
        <v>1297</v>
      </c>
      <c r="C372" s="5"/>
      <c r="D372" s="5" t="s">
        <v>1298</v>
      </c>
      <c r="E372" s="5" t="s">
        <v>40</v>
      </c>
      <c r="F372" s="5"/>
      <c r="G372" s="5" t="s">
        <v>31</v>
      </c>
      <c r="H372" s="5" t="s">
        <v>157</v>
      </c>
      <c r="I372" s="5" t="s">
        <v>42</v>
      </c>
      <c r="J372" s="6" t="n">
        <v>1</v>
      </c>
      <c r="K372" s="5" t="s">
        <v>76</v>
      </c>
      <c r="L372" s="5" t="n">
        <f aca="false">IF($K372="",0,LEN($K372)-LEN(SUBSTITUTE($K372,",",""))+1)</f>
        <v>1</v>
      </c>
      <c r="M372" s="5" t="s">
        <v>44</v>
      </c>
      <c r="N372" s="5" t="str">
        <f aca="false">TRIM($A372&amp;" "&amp;IF($C372="",$R372,$C372&amp;" "&amp;$D372&amp;" "&amp;$E372&amp;" "&amp;$F372))</f>
        <v>Ravis Liquor 5</v>
      </c>
      <c r="O372" s="5" t="str">
        <f aca="false">IF($P372&lt;&gt;"","Exclude",IF(AND($M372&lt;&gt;"Full address",$R372=""),"Needs address",IF($J372&lt;0.5,"Hold - low volume",IF(LEFT($W372,3)="Low","Verify address",IF($G372="Needs review","Needs premise review",IF($X372="Estimated","Ready - address estimated","Ready"))))))</f>
        <v>Needs address</v>
      </c>
      <c r="P372" s="5"/>
      <c r="Q372" s="5" t="s">
        <v>45</v>
      </c>
      <c r="R372" s="5"/>
      <c r="S372" s="5"/>
      <c r="T372" s="7"/>
      <c r="U372" s="7"/>
      <c r="V372" s="5"/>
      <c r="W372" s="5"/>
      <c r="X372" s="5" t="s">
        <v>3</v>
      </c>
      <c r="Y372" s="8" t="str">
        <f aca="false">IF($C372&lt;&gt;"",TRIM($C372&amp;", "&amp;$D372&amp;", "&amp;$E372&amp;" "&amp;$F372),IF($R372&lt;&gt;"",$R372,IF($D372&lt;&gt;"",$D372&amp;", "&amp;$E372,$I372)))</f>
        <v>Lubbock, TX</v>
      </c>
    </row>
    <row r="373" customFormat="false" ht="15" hidden="false" customHeight="true" outlineLevel="0" collapsed="false">
      <c r="A373" s="5" t="s">
        <v>1299</v>
      </c>
      <c r="B373" s="5" t="s">
        <v>1299</v>
      </c>
      <c r="C373" s="5"/>
      <c r="D373" s="5" t="s">
        <v>639</v>
      </c>
      <c r="E373" s="5" t="s">
        <v>40</v>
      </c>
      <c r="F373" s="5"/>
      <c r="G373" s="5" t="s">
        <v>31</v>
      </c>
      <c r="H373" s="5" t="s">
        <v>41</v>
      </c>
      <c r="I373" s="5" t="s">
        <v>42</v>
      </c>
      <c r="J373" s="6" t="n">
        <v>1</v>
      </c>
      <c r="K373" s="5" t="s">
        <v>469</v>
      </c>
      <c r="L373" s="5" t="n">
        <f aca="false">IF($K373="",0,LEN($K373)-LEN(SUBSTITUTE($K373,",",""))+1)</f>
        <v>1</v>
      </c>
      <c r="M373" s="5" t="s">
        <v>44</v>
      </c>
      <c r="N373" s="5" t="str">
        <f aca="false">TRIM($A373&amp;" "&amp;IF($C373="",$R373,$C373&amp;" "&amp;$D373&amp;" "&amp;$E373&amp;" "&amp;$F373))</f>
        <v>Raymond's Liquor Stop</v>
      </c>
      <c r="O373" s="5" t="str">
        <f aca="false">IF($P373&lt;&gt;"","Exclude",IF(AND($M373&lt;&gt;"Full address",$R373=""),"Needs address",IF($J373&lt;0.5,"Hold - low volume",IF(LEFT($W373,3)="Low","Verify address",IF($G373="Needs review","Needs premise review",IF($X373="Estimated","Ready - address estimated","Ready"))))))</f>
        <v>Needs address</v>
      </c>
      <c r="P373" s="5"/>
      <c r="Q373" s="5" t="s">
        <v>45</v>
      </c>
      <c r="R373" s="5"/>
      <c r="S373" s="5"/>
      <c r="T373" s="7"/>
      <c r="U373" s="7"/>
      <c r="V373" s="5"/>
      <c r="W373" s="5"/>
      <c r="X373" s="5" t="s">
        <v>3</v>
      </c>
      <c r="Y373" s="8" t="str">
        <f aca="false">IF($C373&lt;&gt;"",TRIM($C373&amp;", "&amp;$D373&amp;", "&amp;$E373&amp;" "&amp;$F373),IF($R373&lt;&gt;"",$R373,IF($D373&lt;&gt;"",$D373&amp;", "&amp;$E373,$I373)))</f>
        <v>Arlington, TX</v>
      </c>
    </row>
    <row r="374" customFormat="false" ht="15" hidden="false" customHeight="true" outlineLevel="0" collapsed="false">
      <c r="A374" s="5" t="s">
        <v>1300</v>
      </c>
      <c r="B374" s="5" t="s">
        <v>1301</v>
      </c>
      <c r="C374" s="5"/>
      <c r="D374" s="5" t="s">
        <v>1302</v>
      </c>
      <c r="E374" s="5" t="s">
        <v>40</v>
      </c>
      <c r="F374" s="5"/>
      <c r="G374" s="5" t="s">
        <v>31</v>
      </c>
      <c r="H374" s="5" t="s">
        <v>41</v>
      </c>
      <c r="I374" s="5" t="s">
        <v>42</v>
      </c>
      <c r="J374" s="6" t="n">
        <v>1</v>
      </c>
      <c r="K374" s="5" t="s">
        <v>76</v>
      </c>
      <c r="L374" s="5" t="n">
        <f aca="false">IF($K374="",0,LEN($K374)-LEN(SUBSTITUTE($K374,",",""))+1)</f>
        <v>1</v>
      </c>
      <c r="M374" s="5" t="s">
        <v>44</v>
      </c>
      <c r="N374" s="5" t="str">
        <f aca="false">TRIM($A374&amp;" "&amp;IF($C374="",$R374,$C374&amp;" "&amp;$D374&amp;" "&amp;$E374&amp;" "&amp;$F374))</f>
        <v>Red River Liquor</v>
      </c>
      <c r="O374" s="5" t="str">
        <f aca="false">IF($P374&lt;&gt;"","Exclude",IF(AND($M374&lt;&gt;"Full address",$R374=""),"Needs address",IF($J374&lt;0.5,"Hold - low volume",IF(LEFT($W374,3)="Low","Verify address",IF($G374="Needs review","Needs premise review",IF($X374="Estimated","Ready - address estimated","Ready"))))))</f>
        <v>Needs address</v>
      </c>
      <c r="P374" s="5"/>
      <c r="Q374" s="5" t="s">
        <v>45</v>
      </c>
      <c r="R374" s="5"/>
      <c r="S374" s="5"/>
      <c r="T374" s="7"/>
      <c r="U374" s="7"/>
      <c r="V374" s="5"/>
      <c r="W374" s="5"/>
      <c r="X374" s="5" t="s">
        <v>3</v>
      </c>
      <c r="Y374" s="8" t="str">
        <f aca="false">IF($C374&lt;&gt;"",TRIM($C374&amp;", "&amp;$D374&amp;", "&amp;$E374&amp;" "&amp;$F374),IF($R374&lt;&gt;"",$R374,IF($D374&lt;&gt;"",$D374&amp;", "&amp;$E374,$I374)))</f>
        <v>Denison, TX</v>
      </c>
    </row>
    <row r="375" customFormat="false" ht="15" hidden="false" customHeight="true" outlineLevel="0" collapsed="false">
      <c r="A375" s="5" t="s">
        <v>1303</v>
      </c>
      <c r="B375" s="5" t="s">
        <v>1303</v>
      </c>
      <c r="C375" s="5"/>
      <c r="D375" s="5" t="s">
        <v>354</v>
      </c>
      <c r="E375" s="5" t="s">
        <v>40</v>
      </c>
      <c r="F375" s="5"/>
      <c r="G375" s="5" t="s">
        <v>31</v>
      </c>
      <c r="H375" s="5" t="s">
        <v>41</v>
      </c>
      <c r="I375" s="5" t="s">
        <v>42</v>
      </c>
      <c r="J375" s="6" t="n">
        <v>1</v>
      </c>
      <c r="K375" s="5" t="s">
        <v>426</v>
      </c>
      <c r="L375" s="5" t="n">
        <f aca="false">IF($K375="",0,LEN($K375)-LEN(SUBSTITUTE($K375,",",""))+1)</f>
        <v>1</v>
      </c>
      <c r="M375" s="5" t="s">
        <v>44</v>
      </c>
      <c r="N375" s="5" t="str">
        <f aca="false">TRIM($A375&amp;" "&amp;IF($C375="",$R375,$C375&amp;" "&amp;$D375&amp;" "&amp;$E375&amp;" "&amp;$F375))</f>
        <v>River Cut Rate Liquors</v>
      </c>
      <c r="O375" s="5" t="str">
        <f aca="false">IF($P375&lt;&gt;"","Exclude",IF(AND($M375&lt;&gt;"Full address",$R375=""),"Needs address",IF($J375&lt;0.5,"Hold - low volume",IF(LEFT($W375,3)="Low","Verify address",IF($G375="Needs review","Needs premise review",IF($X375="Estimated","Ready - address estimated","Ready"))))))</f>
        <v>Needs address</v>
      </c>
      <c r="P375" s="5"/>
      <c r="Q375" s="5" t="s">
        <v>45</v>
      </c>
      <c r="R375" s="5"/>
      <c r="S375" s="5"/>
      <c r="T375" s="7"/>
      <c r="U375" s="7"/>
      <c r="V375" s="5"/>
      <c r="W375" s="5"/>
      <c r="X375" s="5" t="s">
        <v>3</v>
      </c>
      <c r="Y375" s="8" t="str">
        <f aca="false">IF($C375&lt;&gt;"",TRIM($C375&amp;", "&amp;$D375&amp;", "&amp;$E375&amp;" "&amp;$F375),IF($R375&lt;&gt;"",$R375,IF($D375&lt;&gt;"",$D375&amp;", "&amp;$E375,$I375)))</f>
        <v>Dallas, TX</v>
      </c>
    </row>
    <row r="376" customFormat="false" ht="15" hidden="false" customHeight="true" outlineLevel="0" collapsed="false">
      <c r="A376" s="5" t="s">
        <v>1304</v>
      </c>
      <c r="B376" s="5" t="s">
        <v>1304</v>
      </c>
      <c r="C376" s="5"/>
      <c r="D376" s="5" t="s">
        <v>1305</v>
      </c>
      <c r="E376" s="5" t="s">
        <v>40</v>
      </c>
      <c r="F376" s="5"/>
      <c r="G376" s="5" t="s">
        <v>31</v>
      </c>
      <c r="H376" s="5" t="s">
        <v>157</v>
      </c>
      <c r="I376" s="5" t="s">
        <v>42</v>
      </c>
      <c r="J376" s="6" t="n">
        <v>1</v>
      </c>
      <c r="K376" s="5" t="s">
        <v>1163</v>
      </c>
      <c r="L376" s="5" t="n">
        <f aca="false">IF($K376="",0,LEN($K376)-LEN(SUBSTITUTE($K376,",",""))+1)</f>
        <v>1</v>
      </c>
      <c r="M376" s="5" t="s">
        <v>44</v>
      </c>
      <c r="N376" s="5" t="str">
        <f aca="false">TRIM($A376&amp;" "&amp;IF($C376="",$R376,$C376&amp;" "&amp;$D376&amp;" "&amp;$E376&amp;" "&amp;$F376))</f>
        <v>Rustic Star Liquor</v>
      </c>
      <c r="O376" s="5" t="str">
        <f aca="false">IF($P376&lt;&gt;"","Exclude",IF(AND($M376&lt;&gt;"Full address",$R376=""),"Needs address",IF($J376&lt;0.5,"Hold - low volume",IF(LEFT($W376,3)="Low","Verify address",IF($G376="Needs review","Needs premise review",IF($X376="Estimated","Ready - address estimated","Ready"))))))</f>
        <v>Needs address</v>
      </c>
      <c r="P376" s="5"/>
      <c r="Q376" s="5" t="s">
        <v>45</v>
      </c>
      <c r="R376" s="5"/>
      <c r="S376" s="5"/>
      <c r="T376" s="7"/>
      <c r="U376" s="7"/>
      <c r="V376" s="5"/>
      <c r="W376" s="5"/>
      <c r="X376" s="5" t="s">
        <v>3</v>
      </c>
      <c r="Y376" s="8" t="str">
        <f aca="false">IF($C376&lt;&gt;"",TRIM($C376&amp;", "&amp;$D376&amp;", "&amp;$E376&amp;" "&amp;$F376),IF($R376&lt;&gt;"",$R376,IF($D376&lt;&gt;"",$D376&amp;", "&amp;$E376,$I376)))</f>
        <v>Snyder, TX</v>
      </c>
    </row>
    <row r="377" customFormat="false" ht="15" hidden="false" customHeight="true" outlineLevel="0" collapsed="false">
      <c r="A377" s="5" t="s">
        <v>1306</v>
      </c>
      <c r="B377" s="5" t="s">
        <v>1306</v>
      </c>
      <c r="C377" s="5"/>
      <c r="D377" s="5" t="s">
        <v>1307</v>
      </c>
      <c r="E377" s="5" t="s">
        <v>40</v>
      </c>
      <c r="F377" s="5"/>
      <c r="G377" s="5" t="s">
        <v>31</v>
      </c>
      <c r="H377" s="5" t="s">
        <v>157</v>
      </c>
      <c r="I377" s="5" t="s">
        <v>42</v>
      </c>
      <c r="J377" s="6" t="n">
        <v>1</v>
      </c>
      <c r="K377" s="5" t="s">
        <v>426</v>
      </c>
      <c r="L377" s="5" t="n">
        <f aca="false">IF($K377="",0,LEN($K377)-LEN(SUBSTITUTE($K377,",",""))+1)</f>
        <v>1</v>
      </c>
      <c r="M377" s="5" t="s">
        <v>44</v>
      </c>
      <c r="N377" s="5" t="str">
        <f aca="false">TRIM($A377&amp;" "&amp;IF($C377="",$R377,$C377&amp;" "&amp;$D377&amp;" "&amp;$E377&amp;" "&amp;$F377))</f>
        <v>S A S LIQUOR #2</v>
      </c>
      <c r="O377" s="5" t="str">
        <f aca="false">IF($P377&lt;&gt;"","Exclude",IF(AND($M377&lt;&gt;"Full address",$R377=""),"Needs address",IF($J377&lt;0.5,"Hold - low volume",IF(LEFT($W377,3)="Low","Verify address",IF($G377="Needs review","Needs premise review",IF($X377="Estimated","Ready - address estimated","Ready"))))))</f>
        <v>Needs address</v>
      </c>
      <c r="P377" s="5"/>
      <c r="Q377" s="5" t="s">
        <v>45</v>
      </c>
      <c r="R377" s="5"/>
      <c r="S377" s="5"/>
      <c r="T377" s="7"/>
      <c r="U377" s="7"/>
      <c r="V377" s="5"/>
      <c r="W377" s="5"/>
      <c r="X377" s="5" t="s">
        <v>3</v>
      </c>
      <c r="Y377" s="8" t="str">
        <f aca="false">IF($C377&lt;&gt;"",TRIM($C377&amp;", "&amp;$D377&amp;", "&amp;$E377&amp;" "&amp;$F377),IF($R377&lt;&gt;"",$R377,IF($D377&lt;&gt;"",$D377&amp;", "&amp;$E377,$I377)))</f>
        <v>Huffman, TX</v>
      </c>
    </row>
    <row r="378" customFormat="false" ht="15" hidden="false" customHeight="true" outlineLevel="0" collapsed="false">
      <c r="A378" s="5" t="s">
        <v>1308</v>
      </c>
      <c r="B378" s="5" t="s">
        <v>1308</v>
      </c>
      <c r="C378" s="5"/>
      <c r="D378" s="5" t="s">
        <v>948</v>
      </c>
      <c r="E378" s="5" t="s">
        <v>40</v>
      </c>
      <c r="F378" s="5"/>
      <c r="G378" s="5" t="s">
        <v>31</v>
      </c>
      <c r="H378" s="5" t="s">
        <v>157</v>
      </c>
      <c r="I378" s="5" t="s">
        <v>42</v>
      </c>
      <c r="J378" s="6" t="n">
        <v>1</v>
      </c>
      <c r="K378" s="5" t="s">
        <v>76</v>
      </c>
      <c r="L378" s="5" t="n">
        <f aca="false">IF($K378="",0,LEN($K378)-LEN(SUBSTITUTE($K378,",",""))+1)</f>
        <v>1</v>
      </c>
      <c r="M378" s="5" t="s">
        <v>44</v>
      </c>
      <c r="N378" s="5" t="str">
        <f aca="false">TRIM($A378&amp;" "&amp;IF($C378="",$R378,$C378&amp;" "&amp;$D378&amp;" "&amp;$E378&amp;" "&amp;$F378))</f>
        <v>Sam Liquor</v>
      </c>
      <c r="O378" s="5" t="str">
        <f aca="false">IF($P378&lt;&gt;"","Exclude",IF(AND($M378&lt;&gt;"Full address",$R378=""),"Needs address",IF($J378&lt;0.5,"Hold - low volume",IF(LEFT($W378,3)="Low","Verify address",IF($G378="Needs review","Needs premise review",IF($X378="Estimated","Ready - address estimated","Ready"))))))</f>
        <v>Needs address</v>
      </c>
      <c r="P378" s="5"/>
      <c r="Q378" s="5" t="s">
        <v>45</v>
      </c>
      <c r="R378" s="5"/>
      <c r="S378" s="5"/>
      <c r="T378" s="7"/>
      <c r="U378" s="7"/>
      <c r="V378" s="5"/>
      <c r="W378" s="5"/>
      <c r="X378" s="5" t="s">
        <v>3</v>
      </c>
      <c r="Y378" s="8" t="str">
        <f aca="false">IF($C378&lt;&gt;"",TRIM($C378&amp;", "&amp;$D378&amp;", "&amp;$E378&amp;" "&amp;$F378),IF($R378&lt;&gt;"",$R378,IF($D378&lt;&gt;"",$D378&amp;", "&amp;$E378,$I378)))</f>
        <v>Angleton, TX</v>
      </c>
    </row>
    <row r="379" customFormat="false" ht="15" hidden="false" customHeight="true" outlineLevel="0" collapsed="false">
      <c r="A379" s="5" t="s">
        <v>1309</v>
      </c>
      <c r="B379" s="5" t="s">
        <v>1309</v>
      </c>
      <c r="C379" s="5"/>
      <c r="D379" s="5" t="s">
        <v>349</v>
      </c>
      <c r="E379" s="5" t="s">
        <v>40</v>
      </c>
      <c r="F379" s="5"/>
      <c r="G379" s="5" t="s">
        <v>31</v>
      </c>
      <c r="H379" s="5" t="s">
        <v>41</v>
      </c>
      <c r="I379" s="5" t="s">
        <v>42</v>
      </c>
      <c r="J379" s="6" t="n">
        <v>1</v>
      </c>
      <c r="K379" s="5" t="s">
        <v>426</v>
      </c>
      <c r="L379" s="5" t="n">
        <f aca="false">IF($K379="",0,LEN($K379)-LEN(SUBSTITUTE($K379,",",""))+1)</f>
        <v>1</v>
      </c>
      <c r="M379" s="5" t="s">
        <v>44</v>
      </c>
      <c r="N379" s="5" t="str">
        <f aca="false">TRIM($A379&amp;" "&amp;IF($C379="",$R379,$C379&amp;" "&amp;$D379&amp;" "&amp;$E379&amp;" "&amp;$F379))</f>
        <v>Seasons Liquor</v>
      </c>
      <c r="O379" s="5" t="str">
        <f aca="false">IF($P379&lt;&gt;"","Exclude",IF(AND($M379&lt;&gt;"Full address",$R379=""),"Needs address",IF($J379&lt;0.5,"Hold - low volume",IF(LEFT($W379,3)="Low","Verify address",IF($G379="Needs review","Needs premise review",IF($X379="Estimated","Ready - address estimated","Ready"))))))</f>
        <v>Needs address</v>
      </c>
      <c r="P379" s="5"/>
      <c r="Q379" s="5" t="s">
        <v>45</v>
      </c>
      <c r="R379" s="5"/>
      <c r="S379" s="5"/>
      <c r="T379" s="7"/>
      <c r="U379" s="7"/>
      <c r="V379" s="5"/>
      <c r="W379" s="5"/>
      <c r="X379" s="5" t="s">
        <v>3</v>
      </c>
      <c r="Y379" s="8" t="str">
        <f aca="false">IF($C379&lt;&gt;"",TRIM($C379&amp;", "&amp;$D379&amp;", "&amp;$E379&amp;" "&amp;$F379),IF($R379&lt;&gt;"",$R379,IF($D379&lt;&gt;"",$D379&amp;", "&amp;$E379,$I379)))</f>
        <v>Fort Worth, TX</v>
      </c>
    </row>
    <row r="380" customFormat="false" ht="15" hidden="false" customHeight="true" outlineLevel="0" collapsed="false">
      <c r="A380" s="5" t="s">
        <v>1310</v>
      </c>
      <c r="B380" s="5" t="s">
        <v>1310</v>
      </c>
      <c r="C380" s="5"/>
      <c r="D380" s="5" t="s">
        <v>1311</v>
      </c>
      <c r="E380" s="5" t="s">
        <v>40</v>
      </c>
      <c r="F380" s="5"/>
      <c r="G380" s="5" t="s">
        <v>144</v>
      </c>
      <c r="H380" s="5" t="s">
        <v>157</v>
      </c>
      <c r="I380" s="5" t="s">
        <v>42</v>
      </c>
      <c r="J380" s="6" t="n">
        <v>1</v>
      </c>
      <c r="K380" s="5" t="s">
        <v>469</v>
      </c>
      <c r="L380" s="5" t="n">
        <f aca="false">IF($K380="",0,LEN($K380)-LEN(SUBSTITUTE($K380,",",""))+1)</f>
        <v>1</v>
      </c>
      <c r="M380" s="5" t="s">
        <v>44</v>
      </c>
      <c r="N380" s="5" t="str">
        <f aca="false">TRIM($A380&amp;" "&amp;IF($C380="",$R380,$C380&amp;" "&amp;$D380&amp;" "&amp;$E380&amp;" "&amp;$F380))</f>
        <v>Spec's #030 Conroe Loop 336</v>
      </c>
      <c r="O380" s="5" t="str">
        <f aca="false">IF($P380&lt;&gt;"","Exclude",IF(AND($M380&lt;&gt;"Full address",$R380=""),"Needs address",IF($J380&lt;0.5,"Hold - low volume",IF(LEFT($W380,3)="Low","Verify address",IF($G380="Needs review","Needs premise review",IF($X380="Estimated","Ready - address estimated","Ready"))))))</f>
        <v>Needs address</v>
      </c>
      <c r="P380" s="5"/>
      <c r="Q380" s="5" t="s">
        <v>45</v>
      </c>
      <c r="R380" s="5"/>
      <c r="S380" s="5"/>
      <c r="T380" s="7"/>
      <c r="U380" s="7"/>
      <c r="V380" s="5"/>
      <c r="W380" s="5"/>
      <c r="X380" s="5" t="s">
        <v>3</v>
      </c>
      <c r="Y380" s="8" t="str">
        <f aca="false">IF($C380&lt;&gt;"",TRIM($C380&amp;", "&amp;$D380&amp;", "&amp;$E380&amp;" "&amp;$F380),IF($R380&lt;&gt;"",$R380,IF($D380&lt;&gt;"",$D380&amp;", "&amp;$E380,$I380)))</f>
        <v>Conroe, TX</v>
      </c>
    </row>
    <row r="381" customFormat="false" ht="15" hidden="false" customHeight="true" outlineLevel="0" collapsed="false">
      <c r="A381" s="5" t="s">
        <v>1312</v>
      </c>
      <c r="B381" s="5" t="s">
        <v>1312</v>
      </c>
      <c r="C381" s="5"/>
      <c r="D381" s="5" t="s">
        <v>1313</v>
      </c>
      <c r="E381" s="5" t="s">
        <v>40</v>
      </c>
      <c r="F381" s="5"/>
      <c r="G381" s="5" t="s">
        <v>144</v>
      </c>
      <c r="H381" s="5" t="s">
        <v>157</v>
      </c>
      <c r="I381" s="5" t="s">
        <v>42</v>
      </c>
      <c r="J381" s="6" t="n">
        <v>1</v>
      </c>
      <c r="K381" s="5" t="s">
        <v>76</v>
      </c>
      <c r="L381" s="5" t="n">
        <f aca="false">IF($K381="",0,LEN($K381)-LEN(SUBSTITUTE($K381,",",""))+1)</f>
        <v>1</v>
      </c>
      <c r="M381" s="5" t="s">
        <v>44</v>
      </c>
      <c r="N381" s="5" t="str">
        <f aca="false">TRIM($A381&amp;" "&amp;IF($C381="",$R381,$C381&amp;" "&amp;$D381&amp;" "&amp;$E381&amp;" "&amp;$F381))</f>
        <v>Spec's #039 Rosenberg</v>
      </c>
      <c r="O381" s="5" t="str">
        <f aca="false">IF($P381&lt;&gt;"","Exclude",IF(AND($M381&lt;&gt;"Full address",$R381=""),"Needs address",IF($J381&lt;0.5,"Hold - low volume",IF(LEFT($W381,3)="Low","Verify address",IF($G381="Needs review","Needs premise review",IF($X381="Estimated","Ready - address estimated","Ready"))))))</f>
        <v>Needs address</v>
      </c>
      <c r="P381" s="5"/>
      <c r="Q381" s="5" t="s">
        <v>45</v>
      </c>
      <c r="R381" s="5"/>
      <c r="S381" s="5"/>
      <c r="T381" s="7"/>
      <c r="U381" s="7"/>
      <c r="V381" s="5"/>
      <c r="W381" s="5"/>
      <c r="X381" s="5" t="s">
        <v>3</v>
      </c>
      <c r="Y381" s="8" t="str">
        <f aca="false">IF($C381&lt;&gt;"",TRIM($C381&amp;", "&amp;$D381&amp;", "&amp;$E381&amp;" "&amp;$F381),IF($R381&lt;&gt;"",$R381,IF($D381&lt;&gt;"",$D381&amp;", "&amp;$E381,$I381)))</f>
        <v>Rosenberg, TX</v>
      </c>
    </row>
    <row r="382" customFormat="false" ht="15" hidden="false" customHeight="true" outlineLevel="0" collapsed="false">
      <c r="A382" s="5" t="s">
        <v>1314</v>
      </c>
      <c r="B382" s="5" t="s">
        <v>1314</v>
      </c>
      <c r="C382" s="5"/>
      <c r="D382" s="5" t="s">
        <v>1315</v>
      </c>
      <c r="E382" s="5" t="s">
        <v>40</v>
      </c>
      <c r="F382" s="5"/>
      <c r="G382" s="5" t="s">
        <v>144</v>
      </c>
      <c r="H382" s="5" t="s">
        <v>157</v>
      </c>
      <c r="I382" s="5" t="s">
        <v>42</v>
      </c>
      <c r="J382" s="6" t="n">
        <v>1</v>
      </c>
      <c r="K382" s="5" t="s">
        <v>76</v>
      </c>
      <c r="L382" s="5" t="n">
        <f aca="false">IF($K382="",0,LEN($K382)-LEN(SUBSTITUTE($K382,",",""))+1)</f>
        <v>1</v>
      </c>
      <c r="M382" s="5" t="s">
        <v>44</v>
      </c>
      <c r="N382" s="5" t="str">
        <f aca="false">TRIM($A382&amp;" "&amp;IF($C382="",$R382,$C382&amp;" "&amp;$D382&amp;" "&amp;$E382&amp;" "&amp;$F382))</f>
        <v>Spec's #066 Temple</v>
      </c>
      <c r="O382" s="5" t="str">
        <f aca="false">IF($P382&lt;&gt;"","Exclude",IF(AND($M382&lt;&gt;"Full address",$R382=""),"Needs address",IF($J382&lt;0.5,"Hold - low volume",IF(LEFT($W382,3)="Low","Verify address",IF($G382="Needs review","Needs premise review",IF($X382="Estimated","Ready - address estimated","Ready"))))))</f>
        <v>Needs address</v>
      </c>
      <c r="P382" s="5"/>
      <c r="Q382" s="5" t="s">
        <v>45</v>
      </c>
      <c r="R382" s="5"/>
      <c r="S382" s="5"/>
      <c r="T382" s="7"/>
      <c r="U382" s="7"/>
      <c r="V382" s="5"/>
      <c r="W382" s="5"/>
      <c r="X382" s="5" t="s">
        <v>3</v>
      </c>
      <c r="Y382" s="8" t="str">
        <f aca="false">IF($C382&lt;&gt;"",TRIM($C382&amp;", "&amp;$D382&amp;", "&amp;$E382&amp;" "&amp;$F382),IF($R382&lt;&gt;"",$R382,IF($D382&lt;&gt;"",$D382&amp;", "&amp;$E382,$I382)))</f>
        <v>Temple, TX</v>
      </c>
    </row>
    <row r="383" customFormat="false" ht="15" hidden="false" customHeight="true" outlineLevel="0" collapsed="false">
      <c r="A383" s="5" t="s">
        <v>1316</v>
      </c>
      <c r="B383" s="5" t="s">
        <v>1316</v>
      </c>
      <c r="C383" s="5"/>
      <c r="D383" s="5" t="s">
        <v>271</v>
      </c>
      <c r="E383" s="5" t="s">
        <v>40</v>
      </c>
      <c r="F383" s="5"/>
      <c r="G383" s="5" t="s">
        <v>144</v>
      </c>
      <c r="H383" s="5" t="s">
        <v>157</v>
      </c>
      <c r="I383" s="5" t="s">
        <v>42</v>
      </c>
      <c r="J383" s="6" t="n">
        <v>1</v>
      </c>
      <c r="K383" s="5" t="s">
        <v>76</v>
      </c>
      <c r="L383" s="5" t="n">
        <f aca="false">IF($K383="",0,LEN($K383)-LEN(SUBSTITUTE($K383,",",""))+1)</f>
        <v>1</v>
      </c>
      <c r="M383" s="5" t="s">
        <v>44</v>
      </c>
      <c r="N383" s="5" t="str">
        <f aca="false">TRIM($A383&amp;" "&amp;IF($C383="",$R383,$C383&amp;" "&amp;$D383&amp;" "&amp;$E383&amp;" "&amp;$F383))</f>
        <v>Spec's #084 El Paso East - Zaragoza</v>
      </c>
      <c r="O383" s="5" t="str">
        <f aca="false">IF($P383&lt;&gt;"","Exclude",IF(AND($M383&lt;&gt;"Full address",$R383=""),"Needs address",IF($J383&lt;0.5,"Hold - low volume",IF(LEFT($W383,3)="Low","Verify address",IF($G383="Needs review","Needs premise review",IF($X383="Estimated","Ready - address estimated","Ready"))))))</f>
        <v>Needs address</v>
      </c>
      <c r="P383" s="5"/>
      <c r="Q383" s="5" t="s">
        <v>45</v>
      </c>
      <c r="R383" s="5"/>
      <c r="S383" s="5"/>
      <c r="T383" s="7"/>
      <c r="U383" s="7"/>
      <c r="V383" s="5"/>
      <c r="W383" s="5"/>
      <c r="X383" s="5" t="s">
        <v>3</v>
      </c>
      <c r="Y383" s="8" t="str">
        <f aca="false">IF($C383&lt;&gt;"",TRIM($C383&amp;", "&amp;$D383&amp;", "&amp;$E383&amp;" "&amp;$F383),IF($R383&lt;&gt;"",$R383,IF($D383&lt;&gt;"",$D383&amp;", "&amp;$E383,$I383)))</f>
        <v>El Paso, TX</v>
      </c>
    </row>
    <row r="384" customFormat="false" ht="15" hidden="false" customHeight="true" outlineLevel="0" collapsed="false">
      <c r="A384" s="5" t="s">
        <v>1317</v>
      </c>
      <c r="B384" s="5" t="s">
        <v>1317</v>
      </c>
      <c r="C384" s="5"/>
      <c r="D384" s="5" t="s">
        <v>359</v>
      </c>
      <c r="E384" s="5" t="s">
        <v>40</v>
      </c>
      <c r="F384" s="5"/>
      <c r="G384" s="5" t="s">
        <v>144</v>
      </c>
      <c r="H384" s="5" t="s">
        <v>360</v>
      </c>
      <c r="I384" s="5" t="s">
        <v>42</v>
      </c>
      <c r="J384" s="6" t="n">
        <v>1</v>
      </c>
      <c r="K384" s="5" t="s">
        <v>469</v>
      </c>
      <c r="L384" s="5" t="n">
        <f aca="false">IF($K384="",0,LEN($K384)-LEN(SUBSTITUTE($K384,",",""))+1)</f>
        <v>1</v>
      </c>
      <c r="M384" s="5" t="s">
        <v>44</v>
      </c>
      <c r="N384" s="5" t="str">
        <f aca="false">TRIM($A384&amp;" "&amp;IF($C384="",$R384,$C384&amp;" "&amp;$D384&amp;" "&amp;$E384&amp;" "&amp;$F384))</f>
        <v>Spec's #100 San Antonio - De Zavala</v>
      </c>
      <c r="O384" s="5" t="str">
        <f aca="false">IF($P384&lt;&gt;"","Exclude",IF(AND($M384&lt;&gt;"Full address",$R384=""),"Needs address",IF($J384&lt;0.5,"Hold - low volume",IF(LEFT($W384,3)="Low","Verify address",IF($G384="Needs review","Needs premise review",IF($X384="Estimated","Ready - address estimated","Ready"))))))</f>
        <v>Needs address</v>
      </c>
      <c r="P384" s="5"/>
      <c r="Q384" s="5" t="s">
        <v>45</v>
      </c>
      <c r="R384" s="5"/>
      <c r="S384" s="5"/>
      <c r="T384" s="7"/>
      <c r="U384" s="7"/>
      <c r="V384" s="5"/>
      <c r="W384" s="5"/>
      <c r="X384" s="5" t="s">
        <v>3</v>
      </c>
      <c r="Y384" s="8" t="str">
        <f aca="false">IF($C384&lt;&gt;"",TRIM($C384&amp;", "&amp;$D384&amp;", "&amp;$E384&amp;" "&amp;$F384),IF($R384&lt;&gt;"",$R384,IF($D384&lt;&gt;"",$D384&amp;", "&amp;$E384,$I384)))</f>
        <v>San Antonio, TX</v>
      </c>
    </row>
    <row r="385" customFormat="false" ht="15" hidden="false" customHeight="true" outlineLevel="0" collapsed="false">
      <c r="A385" s="5" t="s">
        <v>1318</v>
      </c>
      <c r="B385" s="5" t="s">
        <v>1318</v>
      </c>
      <c r="C385" s="5"/>
      <c r="D385" s="5" t="s">
        <v>1319</v>
      </c>
      <c r="E385" s="5" t="s">
        <v>40</v>
      </c>
      <c r="F385" s="5"/>
      <c r="G385" s="5" t="s">
        <v>144</v>
      </c>
      <c r="H385" s="5" t="s">
        <v>157</v>
      </c>
      <c r="I385" s="5" t="s">
        <v>42</v>
      </c>
      <c r="J385" s="6" t="n">
        <v>1</v>
      </c>
      <c r="K385" s="5" t="s">
        <v>426</v>
      </c>
      <c r="L385" s="5" t="n">
        <f aca="false">IF($K385="",0,LEN($K385)-LEN(SUBSTITUTE($K385,",",""))+1)</f>
        <v>1</v>
      </c>
      <c r="M385" s="5" t="s">
        <v>44</v>
      </c>
      <c r="N385" s="5" t="str">
        <f aca="false">TRIM($A385&amp;" "&amp;IF($C385="",$R385,$C385&amp;" "&amp;$D385&amp;" "&amp;$E385&amp;" "&amp;$F385))</f>
        <v>Spec's #103 New Road</v>
      </c>
      <c r="O385" s="5" t="str">
        <f aca="false">IF($P385&lt;&gt;"","Exclude",IF(AND($M385&lt;&gt;"Full address",$R385=""),"Needs address",IF($J385&lt;0.5,"Hold - low volume",IF(LEFT($W385,3)="Low","Verify address",IF($G385="Needs review","Needs premise review",IF($X385="Estimated","Ready - address estimated","Ready"))))))</f>
        <v>Needs address</v>
      </c>
      <c r="P385" s="5"/>
      <c r="Q385" s="5" t="s">
        <v>45</v>
      </c>
      <c r="R385" s="5"/>
      <c r="S385" s="5"/>
      <c r="T385" s="7"/>
      <c r="U385" s="7"/>
      <c r="V385" s="5"/>
      <c r="W385" s="5"/>
      <c r="X385" s="5" t="s">
        <v>3</v>
      </c>
      <c r="Y385" s="8" t="str">
        <f aca="false">IF($C385&lt;&gt;"",TRIM($C385&amp;", "&amp;$D385&amp;", "&amp;$E385&amp;" "&amp;$F385),IF($R385&lt;&gt;"",$R385,IF($D385&lt;&gt;"",$D385&amp;", "&amp;$E385,$I385)))</f>
        <v>Waco, TX</v>
      </c>
    </row>
    <row r="386" customFormat="false" ht="15" hidden="false" customHeight="true" outlineLevel="0" collapsed="false">
      <c r="A386" s="5" t="s">
        <v>1320</v>
      </c>
      <c r="B386" s="5" t="s">
        <v>1320</v>
      </c>
      <c r="C386" s="5"/>
      <c r="D386" s="5" t="s">
        <v>1298</v>
      </c>
      <c r="E386" s="5" t="s">
        <v>40</v>
      </c>
      <c r="F386" s="5"/>
      <c r="G386" s="5" t="s">
        <v>144</v>
      </c>
      <c r="H386" s="5" t="s">
        <v>157</v>
      </c>
      <c r="I386" s="5" t="s">
        <v>42</v>
      </c>
      <c r="J386" s="6" t="n">
        <v>1</v>
      </c>
      <c r="K386" s="5" t="s">
        <v>76</v>
      </c>
      <c r="L386" s="5" t="n">
        <f aca="false">IF($K386="",0,LEN($K386)-LEN(SUBSTITUTE($K386,",",""))+1)</f>
        <v>1</v>
      </c>
      <c r="M386" s="5" t="s">
        <v>44</v>
      </c>
      <c r="N386" s="5" t="str">
        <f aca="false">TRIM($A386&amp;" "&amp;IF($C386="",$R386,$C386&amp;" "&amp;$D386&amp;" "&amp;$E386&amp;" "&amp;$F386))</f>
        <v>Spec's #107 Lubbock Slide Road</v>
      </c>
      <c r="O386" s="5" t="str">
        <f aca="false">IF($P386&lt;&gt;"","Exclude",IF(AND($M386&lt;&gt;"Full address",$R386=""),"Needs address",IF($J386&lt;0.5,"Hold - low volume",IF(LEFT($W386,3)="Low","Verify address",IF($G386="Needs review","Needs premise review",IF($X386="Estimated","Ready - address estimated","Ready"))))))</f>
        <v>Needs address</v>
      </c>
      <c r="P386" s="5"/>
      <c r="Q386" s="5" t="s">
        <v>45</v>
      </c>
      <c r="R386" s="5"/>
      <c r="S386" s="5"/>
      <c r="T386" s="7"/>
      <c r="U386" s="7"/>
      <c r="V386" s="5"/>
      <c r="W386" s="5"/>
      <c r="X386" s="5" t="s">
        <v>3</v>
      </c>
      <c r="Y386" s="8" t="str">
        <f aca="false">IF($C386&lt;&gt;"",TRIM($C386&amp;", "&amp;$D386&amp;", "&amp;$E386&amp;" "&amp;$F386),IF($R386&lt;&gt;"",$R386,IF($D386&lt;&gt;"",$D386&amp;", "&amp;$E386,$I386)))</f>
        <v>Lubbock, TX</v>
      </c>
    </row>
    <row r="387" customFormat="false" ht="15" hidden="false" customHeight="true" outlineLevel="0" collapsed="false">
      <c r="A387" s="5" t="s">
        <v>1321</v>
      </c>
      <c r="B387" s="5" t="s">
        <v>1321</v>
      </c>
      <c r="C387" s="5"/>
      <c r="D387" s="5" t="s">
        <v>359</v>
      </c>
      <c r="E387" s="5" t="s">
        <v>40</v>
      </c>
      <c r="F387" s="5"/>
      <c r="G387" s="5" t="s">
        <v>144</v>
      </c>
      <c r="H387" s="5" t="s">
        <v>360</v>
      </c>
      <c r="I387" s="5" t="s">
        <v>42</v>
      </c>
      <c r="J387" s="6" t="n">
        <v>1</v>
      </c>
      <c r="K387" s="5" t="s">
        <v>469</v>
      </c>
      <c r="L387" s="5" t="n">
        <f aca="false">IF($K387="",0,LEN($K387)-LEN(SUBSTITUTE($K387,",",""))+1)</f>
        <v>1</v>
      </c>
      <c r="M387" s="5" t="s">
        <v>44</v>
      </c>
      <c r="N387" s="5" t="str">
        <f aca="false">TRIM($A387&amp;" "&amp;IF($C387="",$R387,$C387&amp;" "&amp;$D387&amp;" "&amp;$E387&amp;" "&amp;$F387))</f>
        <v>Spec's #113 Bandera</v>
      </c>
      <c r="O387" s="5" t="str">
        <f aca="false">IF($P387&lt;&gt;"","Exclude",IF(AND($M387&lt;&gt;"Full address",$R387=""),"Needs address",IF($J387&lt;0.5,"Hold - low volume",IF(LEFT($W387,3)="Low","Verify address",IF($G387="Needs review","Needs premise review",IF($X387="Estimated","Ready - address estimated","Ready"))))))</f>
        <v>Needs address</v>
      </c>
      <c r="P387" s="5"/>
      <c r="Q387" s="5" t="s">
        <v>45</v>
      </c>
      <c r="R387" s="5"/>
      <c r="S387" s="5"/>
      <c r="T387" s="7"/>
      <c r="U387" s="7"/>
      <c r="V387" s="5"/>
      <c r="W387" s="5"/>
      <c r="X387" s="5" t="s">
        <v>3</v>
      </c>
      <c r="Y387" s="8" t="str">
        <f aca="false">IF($C387&lt;&gt;"",TRIM($C387&amp;", "&amp;$D387&amp;", "&amp;$E387&amp;" "&amp;$F387),IF($R387&lt;&gt;"",$R387,IF($D387&lt;&gt;"",$D387&amp;", "&amp;$E387,$I387)))</f>
        <v>San Antonio, TX</v>
      </c>
    </row>
    <row r="388" customFormat="false" ht="15" hidden="false" customHeight="true" outlineLevel="0" collapsed="false">
      <c r="A388" s="5" t="s">
        <v>1322</v>
      </c>
      <c r="B388" s="5" t="s">
        <v>1323</v>
      </c>
      <c r="C388" s="5"/>
      <c r="D388" s="5" t="s">
        <v>1324</v>
      </c>
      <c r="E388" s="5" t="s">
        <v>40</v>
      </c>
      <c r="F388" s="5"/>
      <c r="G388" s="5" t="s">
        <v>377</v>
      </c>
      <c r="H388" s="5" t="s">
        <v>157</v>
      </c>
      <c r="I388" s="5" t="s">
        <v>42</v>
      </c>
      <c r="J388" s="6" t="n">
        <v>1</v>
      </c>
      <c r="K388" s="5" t="s">
        <v>76</v>
      </c>
      <c r="L388" s="5" t="n">
        <f aca="false">IF($K388="",0,LEN($K388)-LEN(SUBSTITUTE($K388,",",""))+1)</f>
        <v>1</v>
      </c>
      <c r="M388" s="5" t="s">
        <v>44</v>
      </c>
      <c r="N388" s="5" t="str">
        <f aca="false">TRIM($A388&amp;" "&amp;IF($C388="",$R388,$C388&amp;" "&amp;$D388&amp;" "&amp;$E388&amp;" "&amp;$F388))</f>
        <v>Spec's #142 Fat Dog</v>
      </c>
      <c r="O388" s="5" t="str">
        <f aca="false">IF($P388&lt;&gt;"","Exclude",IF(AND($M388&lt;&gt;"Full address",$R388=""),"Needs address",IF($J388&lt;0.5,"Hold - low volume",IF(LEFT($W388,3)="Low","Verify address",IF($G388="Needs review","Needs premise review",IF($X388="Estimated","Ready - address estimated","Ready"))))))</f>
        <v>Needs address</v>
      </c>
      <c r="P388" s="5"/>
      <c r="Q388" s="5" t="s">
        <v>45</v>
      </c>
      <c r="R388" s="5"/>
      <c r="S388" s="5"/>
      <c r="T388" s="7"/>
      <c r="U388" s="7"/>
      <c r="V388" s="5"/>
      <c r="W388" s="5"/>
      <c r="X388" s="5" t="s">
        <v>3</v>
      </c>
      <c r="Y388" s="8" t="str">
        <f aca="false">IF($C388&lt;&gt;"",TRIM($C388&amp;", "&amp;$D388&amp;", "&amp;$E388&amp;" "&amp;$F388),IF($R388&lt;&gt;"",$R388,IF($D388&lt;&gt;"",$D388&amp;", "&amp;$E388,$I388)))</f>
        <v>Coffee City, TX</v>
      </c>
    </row>
    <row r="389" customFormat="false" ht="15" hidden="false" customHeight="true" outlineLevel="0" collapsed="false">
      <c r="A389" s="5" t="s">
        <v>1325</v>
      </c>
      <c r="B389" s="5" t="s">
        <v>1325</v>
      </c>
      <c r="C389" s="5"/>
      <c r="D389" s="5" t="s">
        <v>939</v>
      </c>
      <c r="E389" s="5" t="s">
        <v>40</v>
      </c>
      <c r="F389" s="5"/>
      <c r="G389" s="5" t="s">
        <v>144</v>
      </c>
      <c r="H389" s="5" t="s">
        <v>41</v>
      </c>
      <c r="I389" s="5" t="s">
        <v>42</v>
      </c>
      <c r="J389" s="6" t="n">
        <v>1</v>
      </c>
      <c r="K389" s="5" t="s">
        <v>426</v>
      </c>
      <c r="L389" s="5" t="n">
        <f aca="false">IF($K389="",0,LEN($K389)-LEN(SUBSTITUTE($K389,",",""))+1)</f>
        <v>1</v>
      </c>
      <c r="M389" s="5" t="s">
        <v>44</v>
      </c>
      <c r="N389" s="5" t="str">
        <f aca="false">TRIM($A389&amp;" "&amp;IF($C389="",$R389,$C389&amp;" "&amp;$D389&amp;" "&amp;$E389&amp;" "&amp;$F389))</f>
        <v>Spec's #151 Plano West</v>
      </c>
      <c r="O389" s="5" t="str">
        <f aca="false">IF($P389&lt;&gt;"","Exclude",IF(AND($M389&lt;&gt;"Full address",$R389=""),"Needs address",IF($J389&lt;0.5,"Hold - low volume",IF(LEFT($W389,3)="Low","Verify address",IF($G389="Needs review","Needs premise review",IF($X389="Estimated","Ready - address estimated","Ready"))))))</f>
        <v>Needs address</v>
      </c>
      <c r="P389" s="5"/>
      <c r="Q389" s="5" t="s">
        <v>45</v>
      </c>
      <c r="R389" s="5"/>
      <c r="S389" s="5"/>
      <c r="T389" s="7"/>
      <c r="U389" s="7"/>
      <c r="V389" s="5"/>
      <c r="W389" s="5"/>
      <c r="X389" s="5" t="s">
        <v>3</v>
      </c>
      <c r="Y389" s="8" t="str">
        <f aca="false">IF($C389&lt;&gt;"",TRIM($C389&amp;", "&amp;$D389&amp;", "&amp;$E389&amp;" "&amp;$F389),IF($R389&lt;&gt;"",$R389,IF($D389&lt;&gt;"",$D389&amp;", "&amp;$E389,$I389)))</f>
        <v>Plano, TX</v>
      </c>
    </row>
    <row r="390" customFormat="false" ht="15" hidden="false" customHeight="true" outlineLevel="0" collapsed="false">
      <c r="A390" s="5" t="s">
        <v>1326</v>
      </c>
      <c r="B390" s="5" t="s">
        <v>1326</v>
      </c>
      <c r="C390" s="5"/>
      <c r="D390" s="5" t="s">
        <v>349</v>
      </c>
      <c r="E390" s="5" t="s">
        <v>40</v>
      </c>
      <c r="F390" s="5"/>
      <c r="G390" s="5" t="s">
        <v>31</v>
      </c>
      <c r="H390" s="5" t="s">
        <v>41</v>
      </c>
      <c r="I390" s="5" t="s">
        <v>42</v>
      </c>
      <c r="J390" s="6" t="n">
        <v>1</v>
      </c>
      <c r="K390" s="5" t="s">
        <v>76</v>
      </c>
      <c r="L390" s="5" t="n">
        <f aca="false">IF($K390="",0,LEN($K390)-LEN(SUBSTITUTE($K390,",",""))+1)</f>
        <v>1</v>
      </c>
      <c r="M390" s="5" t="s">
        <v>44</v>
      </c>
      <c r="N390" s="5" t="str">
        <f aca="false">TRIM($A390&amp;" "&amp;IF($C390="",$R390,$C390&amp;" "&amp;$D390&amp;" "&amp;$E390&amp;" "&amp;$F390))</f>
        <v>Spec's #158 Two Bucks Liquor Store</v>
      </c>
      <c r="O390" s="5" t="str">
        <f aca="false">IF($P390&lt;&gt;"","Exclude",IF(AND($M390&lt;&gt;"Full address",$R390=""),"Needs address",IF($J390&lt;0.5,"Hold - low volume",IF(LEFT($W390,3)="Low","Verify address",IF($G390="Needs review","Needs premise review",IF($X390="Estimated","Ready - address estimated","Ready"))))))</f>
        <v>Needs address</v>
      </c>
      <c r="P390" s="5"/>
      <c r="Q390" s="5" t="s">
        <v>45</v>
      </c>
      <c r="R390" s="5"/>
      <c r="S390" s="5"/>
      <c r="T390" s="7"/>
      <c r="U390" s="7"/>
      <c r="V390" s="5"/>
      <c r="W390" s="5"/>
      <c r="X390" s="5" t="s">
        <v>3</v>
      </c>
      <c r="Y390" s="8" t="str">
        <f aca="false">IF($C390&lt;&gt;"",TRIM($C390&amp;", "&amp;$D390&amp;", "&amp;$E390&amp;" "&amp;$F390),IF($R390&lt;&gt;"",$R390,IF($D390&lt;&gt;"",$D390&amp;", "&amp;$E390,$I390)))</f>
        <v>Fort Worth, TX</v>
      </c>
    </row>
    <row r="391" customFormat="false" ht="15" hidden="false" customHeight="true" outlineLevel="0" collapsed="false">
      <c r="A391" s="5" t="s">
        <v>1327</v>
      </c>
      <c r="B391" s="5" t="s">
        <v>1327</v>
      </c>
      <c r="C391" s="5"/>
      <c r="D391" s="5" t="s">
        <v>349</v>
      </c>
      <c r="E391" s="5" t="s">
        <v>40</v>
      </c>
      <c r="F391" s="5"/>
      <c r="G391" s="5" t="s">
        <v>144</v>
      </c>
      <c r="H391" s="5" t="s">
        <v>41</v>
      </c>
      <c r="I391" s="5" t="s">
        <v>42</v>
      </c>
      <c r="J391" s="6" t="n">
        <v>1</v>
      </c>
      <c r="K391" s="5" t="s">
        <v>426</v>
      </c>
      <c r="L391" s="5" t="n">
        <f aca="false">IF($K391="",0,LEN($K391)-LEN(SUBSTITUTE($K391,",",""))+1)</f>
        <v>1</v>
      </c>
      <c r="M391" s="5" t="s">
        <v>44</v>
      </c>
      <c r="N391" s="5" t="str">
        <f aca="false">TRIM($A391&amp;" "&amp;IF($C391="",$R391,$C391&amp;" "&amp;$D391&amp;" "&amp;$E391&amp;" "&amp;$F391))</f>
        <v>Spec's #160 Bryant Irvin</v>
      </c>
      <c r="O391" s="5" t="str">
        <f aca="false">IF($P391&lt;&gt;"","Exclude",IF(AND($M391&lt;&gt;"Full address",$R391=""),"Needs address",IF($J391&lt;0.5,"Hold - low volume",IF(LEFT($W391,3)="Low","Verify address",IF($G391="Needs review","Needs premise review",IF($X391="Estimated","Ready - address estimated","Ready"))))))</f>
        <v>Needs address</v>
      </c>
      <c r="P391" s="5"/>
      <c r="Q391" s="5" t="s">
        <v>45</v>
      </c>
      <c r="R391" s="5"/>
      <c r="S391" s="5"/>
      <c r="T391" s="7"/>
      <c r="U391" s="7"/>
      <c r="V391" s="5"/>
      <c r="W391" s="5"/>
      <c r="X391" s="5" t="s">
        <v>3</v>
      </c>
      <c r="Y391" s="8" t="str">
        <f aca="false">IF($C391&lt;&gt;"",TRIM($C391&amp;", "&amp;$D391&amp;", "&amp;$E391&amp;" "&amp;$F391),IF($R391&lt;&gt;"",$R391,IF($D391&lt;&gt;"",$D391&amp;", "&amp;$E391,$I391)))</f>
        <v>Fort Worth, TX</v>
      </c>
    </row>
    <row r="392" customFormat="false" ht="15" hidden="false" customHeight="true" outlineLevel="0" collapsed="false">
      <c r="A392" s="5" t="s">
        <v>1328</v>
      </c>
      <c r="B392" s="5" t="s">
        <v>1328</v>
      </c>
      <c r="C392" s="5"/>
      <c r="D392" s="5" t="s">
        <v>1256</v>
      </c>
      <c r="E392" s="5" t="s">
        <v>40</v>
      </c>
      <c r="F392" s="5"/>
      <c r="G392" s="5" t="s">
        <v>144</v>
      </c>
      <c r="H392" s="5" t="s">
        <v>41</v>
      </c>
      <c r="I392" s="5" t="s">
        <v>42</v>
      </c>
      <c r="J392" s="6" t="n">
        <v>1</v>
      </c>
      <c r="K392" s="5" t="s">
        <v>469</v>
      </c>
      <c r="L392" s="5" t="n">
        <f aca="false">IF($K392="",0,LEN($K392)-LEN(SUBSTITUTE($K392,",",""))+1)</f>
        <v>1</v>
      </c>
      <c r="M392" s="5" t="s">
        <v>44</v>
      </c>
      <c r="N392" s="5" t="str">
        <f aca="false">TRIM($A392&amp;" "&amp;IF($C392="",$R392,$C392&amp;" "&amp;$D392&amp;" "&amp;$E392&amp;" "&amp;$F392))</f>
        <v>Spec's #163 The Colony</v>
      </c>
      <c r="O392" s="5" t="str">
        <f aca="false">IF($P392&lt;&gt;"","Exclude",IF(AND($M392&lt;&gt;"Full address",$R392=""),"Needs address",IF($J392&lt;0.5,"Hold - low volume",IF(LEFT($W392,3)="Low","Verify address",IF($G392="Needs review","Needs premise review",IF($X392="Estimated","Ready - address estimated","Ready"))))))</f>
        <v>Needs address</v>
      </c>
      <c r="P392" s="5"/>
      <c r="Q392" s="5" t="s">
        <v>45</v>
      </c>
      <c r="R392" s="5"/>
      <c r="S392" s="5"/>
      <c r="T392" s="7"/>
      <c r="U392" s="7"/>
      <c r="V392" s="5"/>
      <c r="W392" s="5"/>
      <c r="X392" s="5" t="s">
        <v>3</v>
      </c>
      <c r="Y392" s="8" t="str">
        <f aca="false">IF($C392&lt;&gt;"",TRIM($C392&amp;", "&amp;$D392&amp;", "&amp;$E392&amp;" "&amp;$F392),IF($R392&lt;&gt;"",$R392,IF($D392&lt;&gt;"",$D392&amp;", "&amp;$E392,$I392)))</f>
        <v>The Colony, TX</v>
      </c>
    </row>
    <row r="393" customFormat="false" ht="15" hidden="false" customHeight="true" outlineLevel="0" collapsed="false">
      <c r="A393" s="5" t="s">
        <v>1329</v>
      </c>
      <c r="B393" s="5" t="s">
        <v>1329</v>
      </c>
      <c r="C393" s="5"/>
      <c r="D393" s="5" t="s">
        <v>639</v>
      </c>
      <c r="E393" s="5" t="s">
        <v>40</v>
      </c>
      <c r="F393" s="5"/>
      <c r="G393" s="5" t="s">
        <v>144</v>
      </c>
      <c r="H393" s="5" t="s">
        <v>41</v>
      </c>
      <c r="I393" s="5" t="s">
        <v>42</v>
      </c>
      <c r="J393" s="6" t="n">
        <v>1</v>
      </c>
      <c r="K393" s="5" t="s">
        <v>76</v>
      </c>
      <c r="L393" s="5" t="n">
        <f aca="false">IF($K393="",0,LEN($K393)-LEN(SUBSTITUTE($K393,",",""))+1)</f>
        <v>1</v>
      </c>
      <c r="M393" s="5" t="s">
        <v>44</v>
      </c>
      <c r="N393" s="5" t="str">
        <f aca="false">TRIM($A393&amp;" "&amp;IF($C393="",$R393,$C393&amp;" "&amp;$D393&amp;" "&amp;$E393&amp;" "&amp;$F393))</f>
        <v>Spec's #165 Arlington</v>
      </c>
      <c r="O393" s="5" t="str">
        <f aca="false">IF($P393&lt;&gt;"","Exclude",IF(AND($M393&lt;&gt;"Full address",$R393=""),"Needs address",IF($J393&lt;0.5,"Hold - low volume",IF(LEFT($W393,3)="Low","Verify address",IF($G393="Needs review","Needs premise review",IF($X393="Estimated","Ready - address estimated","Ready"))))))</f>
        <v>Needs address</v>
      </c>
      <c r="P393" s="5"/>
      <c r="Q393" s="5" t="s">
        <v>45</v>
      </c>
      <c r="R393" s="5"/>
      <c r="S393" s="5"/>
      <c r="T393" s="7"/>
      <c r="U393" s="7"/>
      <c r="V393" s="5"/>
      <c r="W393" s="5"/>
      <c r="X393" s="5" t="s">
        <v>3</v>
      </c>
      <c r="Y393" s="8" t="str">
        <f aca="false">IF($C393&lt;&gt;"",TRIM($C393&amp;", "&amp;$D393&amp;", "&amp;$E393&amp;" "&amp;$F393),IF($R393&lt;&gt;"",$R393,IF($D393&lt;&gt;"",$D393&amp;", "&amp;$E393,$I393)))</f>
        <v>Arlington, TX</v>
      </c>
    </row>
    <row r="394" customFormat="false" ht="15" hidden="false" customHeight="true" outlineLevel="0" collapsed="false">
      <c r="A394" s="5" t="s">
        <v>1330</v>
      </c>
      <c r="B394" s="5" t="s">
        <v>1330</v>
      </c>
      <c r="C394" s="5"/>
      <c r="D394" s="5" t="s">
        <v>39</v>
      </c>
      <c r="E394" s="5" t="s">
        <v>40</v>
      </c>
      <c r="F394" s="5"/>
      <c r="G394" s="5" t="s">
        <v>144</v>
      </c>
      <c r="H394" s="5" t="s">
        <v>41</v>
      </c>
      <c r="I394" s="5" t="s">
        <v>42</v>
      </c>
      <c r="J394" s="6" t="n">
        <v>1</v>
      </c>
      <c r="K394" s="5" t="s">
        <v>426</v>
      </c>
      <c r="L394" s="5" t="n">
        <f aca="false">IF($K394="",0,LEN($K394)-LEN(SUBSTITUTE($K394,",",""))+1)</f>
        <v>1</v>
      </c>
      <c r="M394" s="5" t="s">
        <v>44</v>
      </c>
      <c r="N394" s="5" t="str">
        <f aca="false">TRIM($A394&amp;" "&amp;IF($C394="",$R394,$C394&amp;" "&amp;$D394&amp;" "&amp;$E394&amp;" "&amp;$F394))</f>
        <v>Spec's #168 Little Elm</v>
      </c>
      <c r="O394" s="5" t="str">
        <f aca="false">IF($P394&lt;&gt;"","Exclude",IF(AND($M394&lt;&gt;"Full address",$R394=""),"Needs address",IF($J394&lt;0.5,"Hold - low volume",IF(LEFT($W394,3)="Low","Verify address",IF($G394="Needs review","Needs premise review",IF($X394="Estimated","Ready - address estimated","Ready"))))))</f>
        <v>Needs address</v>
      </c>
      <c r="P394" s="5"/>
      <c r="Q394" s="5" t="s">
        <v>45</v>
      </c>
      <c r="R394" s="5"/>
      <c r="S394" s="5"/>
      <c r="T394" s="7"/>
      <c r="U394" s="7"/>
      <c r="V394" s="5"/>
      <c r="W394" s="5"/>
      <c r="X394" s="5" t="s">
        <v>3</v>
      </c>
      <c r="Y394" s="8" t="str">
        <f aca="false">IF($C394&lt;&gt;"",TRIM($C394&amp;", "&amp;$D394&amp;", "&amp;$E394&amp;" "&amp;$F394),IF($R394&lt;&gt;"",$R394,IF($D394&lt;&gt;"",$D394&amp;", "&amp;$E394,$I394)))</f>
        <v>Little Elm, TX</v>
      </c>
    </row>
    <row r="395" customFormat="false" ht="15" hidden="false" customHeight="true" outlineLevel="0" collapsed="false">
      <c r="A395" s="5" t="s">
        <v>1331</v>
      </c>
      <c r="B395" s="5" t="s">
        <v>1331</v>
      </c>
      <c r="C395" s="5"/>
      <c r="D395" s="5" t="s">
        <v>1332</v>
      </c>
      <c r="E395" s="5" t="s">
        <v>40</v>
      </c>
      <c r="F395" s="5"/>
      <c r="G395" s="5" t="s">
        <v>144</v>
      </c>
      <c r="H395" s="5" t="s">
        <v>360</v>
      </c>
      <c r="I395" s="5" t="s">
        <v>42</v>
      </c>
      <c r="J395" s="6" t="n">
        <v>1</v>
      </c>
      <c r="K395" s="5" t="s">
        <v>76</v>
      </c>
      <c r="L395" s="5" t="n">
        <f aca="false">IF($K395="",0,LEN($K395)-LEN(SUBSTITUTE($K395,",",""))+1)</f>
        <v>1</v>
      </c>
      <c r="M395" s="5" t="s">
        <v>44</v>
      </c>
      <c r="N395" s="5" t="str">
        <f aca="false">TRIM($A395&amp;" "&amp;IF($C395="",$R395,$C395&amp;" "&amp;$D395&amp;" "&amp;$E395&amp;" "&amp;$F395))</f>
        <v>Spec's #179 Cedar Park</v>
      </c>
      <c r="O395" s="5" t="str">
        <f aca="false">IF($P395&lt;&gt;"","Exclude",IF(AND($M395&lt;&gt;"Full address",$R395=""),"Needs address",IF($J395&lt;0.5,"Hold - low volume",IF(LEFT($W395,3)="Low","Verify address",IF($G395="Needs review","Needs premise review",IF($X395="Estimated","Ready - address estimated","Ready"))))))</f>
        <v>Needs address</v>
      </c>
      <c r="P395" s="5"/>
      <c r="Q395" s="5" t="s">
        <v>45</v>
      </c>
      <c r="R395" s="5"/>
      <c r="S395" s="5"/>
      <c r="T395" s="7"/>
      <c r="U395" s="7"/>
      <c r="V395" s="5"/>
      <c r="W395" s="5"/>
      <c r="X395" s="5" t="s">
        <v>3</v>
      </c>
      <c r="Y395" s="8" t="str">
        <f aca="false">IF($C395&lt;&gt;"",TRIM($C395&amp;", "&amp;$D395&amp;", "&amp;$E395&amp;" "&amp;$F395),IF($R395&lt;&gt;"",$R395,IF($D395&lt;&gt;"",$D395&amp;", "&amp;$E395,$I395)))</f>
        <v>Cedar Park, TX</v>
      </c>
    </row>
    <row r="396" customFormat="false" ht="15" hidden="false" customHeight="true" outlineLevel="0" collapsed="false">
      <c r="A396" s="5" t="s">
        <v>1333</v>
      </c>
      <c r="B396" s="5" t="s">
        <v>1333</v>
      </c>
      <c r="C396" s="5"/>
      <c r="D396" s="5" t="s">
        <v>271</v>
      </c>
      <c r="E396" s="5" t="s">
        <v>40</v>
      </c>
      <c r="F396" s="5"/>
      <c r="G396" s="5" t="s">
        <v>144</v>
      </c>
      <c r="H396" s="5" t="s">
        <v>157</v>
      </c>
      <c r="I396" s="5" t="s">
        <v>42</v>
      </c>
      <c r="J396" s="6" t="n">
        <v>1</v>
      </c>
      <c r="K396" s="5" t="s">
        <v>426</v>
      </c>
      <c r="L396" s="5" t="n">
        <f aca="false">IF($K396="",0,LEN($K396)-LEN(SUBSTITUTE($K396,",",""))+1)</f>
        <v>1</v>
      </c>
      <c r="M396" s="5" t="s">
        <v>44</v>
      </c>
      <c r="N396" s="5" t="str">
        <f aca="false">TRIM($A396&amp;" "&amp;IF($C396="",$R396,$C396&amp;" "&amp;$D396&amp;" "&amp;$E396&amp;" "&amp;$F396))</f>
        <v>Spec's #180 Gateway North</v>
      </c>
      <c r="O396" s="5" t="str">
        <f aca="false">IF($P396&lt;&gt;"","Exclude",IF(AND($M396&lt;&gt;"Full address",$R396=""),"Needs address",IF($J396&lt;0.5,"Hold - low volume",IF(LEFT($W396,3)="Low","Verify address",IF($G396="Needs review","Needs premise review",IF($X396="Estimated","Ready - address estimated","Ready"))))))</f>
        <v>Needs address</v>
      </c>
      <c r="P396" s="5"/>
      <c r="Q396" s="5" t="s">
        <v>45</v>
      </c>
      <c r="R396" s="5"/>
      <c r="S396" s="5"/>
      <c r="T396" s="7"/>
      <c r="U396" s="7"/>
      <c r="V396" s="5"/>
      <c r="W396" s="5"/>
      <c r="X396" s="5" t="s">
        <v>3</v>
      </c>
      <c r="Y396" s="8" t="str">
        <f aca="false">IF($C396&lt;&gt;"",TRIM($C396&amp;", "&amp;$D396&amp;", "&amp;$E396&amp;" "&amp;$F396),IF($R396&lt;&gt;"",$R396,IF($D396&lt;&gt;"",$D396&amp;", "&amp;$E396,$I396)))</f>
        <v>El Paso, TX</v>
      </c>
    </row>
    <row r="397" customFormat="false" ht="15" hidden="false" customHeight="true" outlineLevel="0" collapsed="false">
      <c r="A397" s="5" t="s">
        <v>1334</v>
      </c>
      <c r="B397" s="5" t="s">
        <v>1334</v>
      </c>
      <c r="C397" s="5"/>
      <c r="D397" s="5" t="s">
        <v>313</v>
      </c>
      <c r="E397" s="5" t="s">
        <v>40</v>
      </c>
      <c r="F397" s="5"/>
      <c r="G397" s="5" t="s">
        <v>144</v>
      </c>
      <c r="H397" s="5" t="s">
        <v>41</v>
      </c>
      <c r="I397" s="5" t="s">
        <v>42</v>
      </c>
      <c r="J397" s="6" t="n">
        <v>1</v>
      </c>
      <c r="K397" s="5" t="s">
        <v>426</v>
      </c>
      <c r="L397" s="5" t="n">
        <f aca="false">IF($K397="",0,LEN($K397)-LEN(SUBSTITUTE($K397,",",""))+1)</f>
        <v>1</v>
      </c>
      <c r="M397" s="5" t="s">
        <v>44</v>
      </c>
      <c r="N397" s="5" t="str">
        <f aca="false">TRIM($A397&amp;" "&amp;IF($C397="",$R397,$C397&amp;" "&amp;$D397&amp;" "&amp;$E397&amp;" "&amp;$F397))</f>
        <v>Spec's #187 Terrell</v>
      </c>
      <c r="O397" s="5" t="str">
        <f aca="false">IF($P397&lt;&gt;"","Exclude",IF(AND($M397&lt;&gt;"Full address",$R397=""),"Needs address",IF($J397&lt;0.5,"Hold - low volume",IF(LEFT($W397,3)="Low","Verify address",IF($G397="Needs review","Needs premise review",IF($X397="Estimated","Ready - address estimated","Ready"))))))</f>
        <v>Needs address</v>
      </c>
      <c r="P397" s="5"/>
      <c r="Q397" s="5" t="s">
        <v>45</v>
      </c>
      <c r="R397" s="5"/>
      <c r="S397" s="5"/>
      <c r="T397" s="7"/>
      <c r="U397" s="7"/>
      <c r="V397" s="5"/>
      <c r="W397" s="5"/>
      <c r="X397" s="5" t="s">
        <v>3</v>
      </c>
      <c r="Y397" s="8" t="str">
        <f aca="false">IF($C397&lt;&gt;"",TRIM($C397&amp;", "&amp;$D397&amp;", "&amp;$E397&amp;" "&amp;$F397),IF($R397&lt;&gt;"",$R397,IF($D397&lt;&gt;"",$D397&amp;", "&amp;$E397,$I397)))</f>
        <v>Terrell, TX</v>
      </c>
    </row>
    <row r="398" customFormat="false" ht="15" hidden="false" customHeight="true" outlineLevel="0" collapsed="false">
      <c r="A398" s="5" t="s">
        <v>1335</v>
      </c>
      <c r="B398" s="5" t="s">
        <v>1335</v>
      </c>
      <c r="C398" s="5"/>
      <c r="D398" s="5" t="s">
        <v>1336</v>
      </c>
      <c r="E398" s="5" t="s">
        <v>40</v>
      </c>
      <c r="F398" s="5"/>
      <c r="G398" s="5" t="s">
        <v>144</v>
      </c>
      <c r="H398" s="5" t="s">
        <v>41</v>
      </c>
      <c r="I398" s="5" t="s">
        <v>42</v>
      </c>
      <c r="J398" s="6" t="n">
        <v>1</v>
      </c>
      <c r="K398" s="5" t="s">
        <v>426</v>
      </c>
      <c r="L398" s="5" t="n">
        <f aca="false">IF($K398="",0,LEN($K398)-LEN(SUBSTITUTE($K398,",",""))+1)</f>
        <v>1</v>
      </c>
      <c r="M398" s="5" t="s">
        <v>44</v>
      </c>
      <c r="N398" s="5" t="str">
        <f aca="false">TRIM($A398&amp;" "&amp;IF($C398="",$R398,$C398&amp;" "&amp;$D398&amp;" "&amp;$E398&amp;" "&amp;$F398))</f>
        <v>Spec's #195 Weatherford</v>
      </c>
      <c r="O398" s="5" t="str">
        <f aca="false">IF($P398&lt;&gt;"","Exclude",IF(AND($M398&lt;&gt;"Full address",$R398=""),"Needs address",IF($J398&lt;0.5,"Hold - low volume",IF(LEFT($W398,3)="Low","Verify address",IF($G398="Needs review","Needs premise review",IF($X398="Estimated","Ready - address estimated","Ready"))))))</f>
        <v>Needs address</v>
      </c>
      <c r="P398" s="5"/>
      <c r="Q398" s="5" t="s">
        <v>45</v>
      </c>
      <c r="R398" s="5"/>
      <c r="S398" s="5"/>
      <c r="T398" s="7"/>
      <c r="U398" s="7"/>
      <c r="V398" s="5"/>
      <c r="W398" s="5"/>
      <c r="X398" s="5" t="s">
        <v>3</v>
      </c>
      <c r="Y398" s="8" t="str">
        <f aca="false">IF($C398&lt;&gt;"",TRIM($C398&amp;", "&amp;$D398&amp;", "&amp;$E398&amp;" "&amp;$F398),IF($R398&lt;&gt;"",$R398,IF($D398&lt;&gt;"",$D398&amp;", "&amp;$E398,$I398)))</f>
        <v>Weatherford, TX</v>
      </c>
    </row>
    <row r="399" customFormat="false" ht="15" hidden="false" customHeight="true" outlineLevel="0" collapsed="false">
      <c r="A399" s="5" t="s">
        <v>1337</v>
      </c>
      <c r="B399" s="5" t="s">
        <v>1337</v>
      </c>
      <c r="C399" s="5"/>
      <c r="D399" s="5" t="s">
        <v>855</v>
      </c>
      <c r="E399" s="5" t="s">
        <v>40</v>
      </c>
      <c r="F399" s="5"/>
      <c r="G399" s="5" t="s">
        <v>31</v>
      </c>
      <c r="H399" s="5" t="s">
        <v>157</v>
      </c>
      <c r="I399" s="5" t="s">
        <v>42</v>
      </c>
      <c r="J399" s="6" t="n">
        <v>1</v>
      </c>
      <c r="K399" s="5" t="s">
        <v>426</v>
      </c>
      <c r="L399" s="5" t="n">
        <f aca="false">IF($K399="",0,LEN($K399)-LEN(SUBSTITUTE($K399,",",""))+1)</f>
        <v>1</v>
      </c>
      <c r="M399" s="5" t="s">
        <v>44</v>
      </c>
      <c r="N399" s="5" t="str">
        <f aca="false">TRIM($A399&amp;" "&amp;IF($C399="",$R399,$C399&amp;" "&amp;$D399&amp;" "&amp;$E399&amp;" "&amp;$F399))</f>
        <v>Summerwood Liquor</v>
      </c>
      <c r="O399" s="5" t="str">
        <f aca="false">IF($P399&lt;&gt;"","Exclude",IF(AND($M399&lt;&gt;"Full address",$R399=""),"Needs address",IF($J399&lt;0.5,"Hold - low volume",IF(LEFT($W399,3)="Low","Verify address",IF($G399="Needs review","Needs premise review",IF($X399="Estimated","Ready - address estimated","Ready"))))))</f>
        <v>Needs address</v>
      </c>
      <c r="P399" s="5"/>
      <c r="Q399" s="5" t="s">
        <v>45</v>
      </c>
      <c r="R399" s="5"/>
      <c r="S399" s="5"/>
      <c r="T399" s="7"/>
      <c r="U399" s="7"/>
      <c r="V399" s="5"/>
      <c r="W399" s="5"/>
      <c r="X399" s="5" t="s">
        <v>3</v>
      </c>
      <c r="Y399" s="8" t="str">
        <f aca="false">IF($C399&lt;&gt;"",TRIM($C399&amp;", "&amp;$D399&amp;", "&amp;$E399&amp;" "&amp;$F399),IF($R399&lt;&gt;"",$R399,IF($D399&lt;&gt;"",$D399&amp;", "&amp;$E399,$I399)))</f>
        <v>Houston, TX</v>
      </c>
    </row>
    <row r="400" customFormat="false" ht="15" hidden="false" customHeight="true" outlineLevel="0" collapsed="false">
      <c r="A400" s="5" t="s">
        <v>1338</v>
      </c>
      <c r="B400" s="5" t="s">
        <v>1338</v>
      </c>
      <c r="C400" s="5"/>
      <c r="D400" s="5" t="s">
        <v>1339</v>
      </c>
      <c r="E400" s="5" t="s">
        <v>40</v>
      </c>
      <c r="F400" s="5"/>
      <c r="G400" s="5" t="s">
        <v>31</v>
      </c>
      <c r="H400" s="5" t="s">
        <v>41</v>
      </c>
      <c r="I400" s="5" t="s">
        <v>42</v>
      </c>
      <c r="J400" s="6" t="n">
        <v>1</v>
      </c>
      <c r="K400" s="5" t="s">
        <v>76</v>
      </c>
      <c r="L400" s="5" t="n">
        <f aca="false">IF($K400="",0,LEN($K400)-LEN(SUBSTITUTE($K400,",",""))+1)</f>
        <v>1</v>
      </c>
      <c r="M400" s="5" t="s">
        <v>44</v>
      </c>
      <c r="N400" s="5" t="str">
        <f aca="false">TRIM($A400&amp;" "&amp;IF($C400="",$R400,$C400&amp;" "&amp;$D400&amp;" "&amp;$E400&amp;" "&amp;$F400))</f>
        <v>Super 9 Liquor</v>
      </c>
      <c r="O400" s="5" t="str">
        <f aca="false">IF($P400&lt;&gt;"","Exclude",IF(AND($M400&lt;&gt;"Full address",$R400=""),"Needs address",IF($J400&lt;0.5,"Hold - low volume",IF(LEFT($W400,3)="Low","Verify address",IF($G400="Needs review","Needs premise review",IF($X400="Estimated","Ready - address estimated","Ready"))))))</f>
        <v>Needs address</v>
      </c>
      <c r="P400" s="5"/>
      <c r="Q400" s="5" t="s">
        <v>45</v>
      </c>
      <c r="R400" s="5"/>
      <c r="S400" s="5"/>
      <c r="T400" s="7"/>
      <c r="U400" s="7"/>
      <c r="V400" s="5"/>
      <c r="W400" s="5"/>
      <c r="X400" s="5" t="s">
        <v>3</v>
      </c>
      <c r="Y400" s="8" t="str">
        <f aca="false">IF($C400&lt;&gt;"",TRIM($C400&amp;", "&amp;$D400&amp;", "&amp;$E400&amp;" "&amp;$F400),IF($R400&lt;&gt;"",$R400,IF($D400&lt;&gt;"",$D400&amp;", "&amp;$E400,$I400)))</f>
        <v>Wichita Falls, TX</v>
      </c>
    </row>
    <row r="401" customFormat="false" ht="15" hidden="false" customHeight="true" outlineLevel="0" collapsed="false">
      <c r="A401" s="5" t="s">
        <v>1340</v>
      </c>
      <c r="B401" s="5" t="s">
        <v>1340</v>
      </c>
      <c r="C401" s="5"/>
      <c r="D401" s="5" t="s">
        <v>855</v>
      </c>
      <c r="E401" s="5" t="s">
        <v>40</v>
      </c>
      <c r="F401" s="5"/>
      <c r="G401" s="5" t="s">
        <v>31</v>
      </c>
      <c r="H401" s="5" t="s">
        <v>157</v>
      </c>
      <c r="I401" s="5" t="s">
        <v>42</v>
      </c>
      <c r="J401" s="6" t="n">
        <v>1</v>
      </c>
      <c r="K401" s="5" t="s">
        <v>426</v>
      </c>
      <c r="L401" s="5" t="n">
        <f aca="false">IF($K401="",0,LEN($K401)-LEN(SUBSTITUTE($K401,",",""))+1)</f>
        <v>1</v>
      </c>
      <c r="M401" s="5" t="s">
        <v>44</v>
      </c>
      <c r="N401" s="5" t="str">
        <f aca="false">TRIM($A401&amp;" "&amp;IF($C401="",$R401,$C401&amp;" "&amp;$D401&amp;" "&amp;$E401&amp;" "&amp;$F401))</f>
        <v>TEJAS LIQUOR #12</v>
      </c>
      <c r="O401" s="5" t="str">
        <f aca="false">IF($P401&lt;&gt;"","Exclude",IF(AND($M401&lt;&gt;"Full address",$R401=""),"Needs address",IF($J401&lt;0.5,"Hold - low volume",IF(LEFT($W401,3)="Low","Verify address",IF($G401="Needs review","Needs premise review",IF($X401="Estimated","Ready - address estimated","Ready"))))))</f>
        <v>Needs address</v>
      </c>
      <c r="P401" s="5"/>
      <c r="Q401" s="5" t="s">
        <v>45</v>
      </c>
      <c r="R401" s="5"/>
      <c r="S401" s="5"/>
      <c r="T401" s="7"/>
      <c r="U401" s="7"/>
      <c r="V401" s="5"/>
      <c r="W401" s="5"/>
      <c r="X401" s="5" t="s">
        <v>3</v>
      </c>
      <c r="Y401" s="8" t="str">
        <f aca="false">IF($C401&lt;&gt;"",TRIM($C401&amp;", "&amp;$D401&amp;", "&amp;$E401&amp;" "&amp;$F401),IF($R401&lt;&gt;"",$R401,IF($D401&lt;&gt;"",$D401&amp;", "&amp;$E401,$I401)))</f>
        <v>Houston, TX</v>
      </c>
    </row>
    <row r="402" customFormat="false" ht="15" hidden="false" customHeight="true" outlineLevel="0" collapsed="false">
      <c r="A402" s="5" t="s">
        <v>1341</v>
      </c>
      <c r="B402" s="5" t="s">
        <v>1341</v>
      </c>
      <c r="C402" s="5"/>
      <c r="D402" s="5" t="s">
        <v>1236</v>
      </c>
      <c r="E402" s="5" t="s">
        <v>40</v>
      </c>
      <c r="F402" s="5"/>
      <c r="G402" s="5" t="s">
        <v>31</v>
      </c>
      <c r="H402" s="5" t="s">
        <v>41</v>
      </c>
      <c r="I402" s="5" t="s">
        <v>42</v>
      </c>
      <c r="J402" s="6" t="n">
        <v>1</v>
      </c>
      <c r="K402" s="5" t="s">
        <v>469</v>
      </c>
      <c r="L402" s="5" t="n">
        <f aca="false">IF($K402="",0,LEN($K402)-LEN(SUBSTITUTE($K402,",",""))+1)</f>
        <v>1</v>
      </c>
      <c r="M402" s="5" t="s">
        <v>44</v>
      </c>
      <c r="N402" s="5" t="str">
        <f aca="false">TRIM($A402&amp;" "&amp;IF($C402="",$R402,$C402&amp;" "&amp;$D402&amp;" "&amp;$E402&amp;" "&amp;$F402))</f>
        <v>Total Wine #507</v>
      </c>
      <c r="O402" s="5" t="str">
        <f aca="false">IF($P402&lt;&gt;"","Exclude",IF(AND($M402&lt;&gt;"Full address",$R402=""),"Needs address",IF($J402&lt;0.5,"Hold - low volume",IF(LEFT($W402,3)="Low","Verify address",IF($G402="Needs review","Needs premise review",IF($X402="Estimated","Ready - address estimated","Ready"))))))</f>
        <v>Needs address</v>
      </c>
      <c r="P402" s="5"/>
      <c r="Q402" s="5" t="s">
        <v>45</v>
      </c>
      <c r="R402" s="5"/>
      <c r="S402" s="5"/>
      <c r="T402" s="7"/>
      <c r="U402" s="7"/>
      <c r="V402" s="5"/>
      <c r="W402" s="5"/>
      <c r="X402" s="5" t="s">
        <v>3</v>
      </c>
      <c r="Y402" s="8" t="str">
        <f aca="false">IF($C402&lt;&gt;"",TRIM($C402&amp;", "&amp;$D402&amp;", "&amp;$E402&amp;" "&amp;$F402),IF($R402&lt;&gt;"",$R402,IF($D402&lt;&gt;"",$D402&amp;", "&amp;$E402,$I402)))</f>
        <v>Lewisville, TX</v>
      </c>
    </row>
    <row r="403" customFormat="false" ht="15" hidden="false" customHeight="true" outlineLevel="0" collapsed="false">
      <c r="A403" s="5" t="s">
        <v>1342</v>
      </c>
      <c r="B403" s="5" t="s">
        <v>1342</v>
      </c>
      <c r="C403" s="5"/>
      <c r="D403" s="5" t="s">
        <v>388</v>
      </c>
      <c r="E403" s="5" t="s">
        <v>40</v>
      </c>
      <c r="F403" s="5"/>
      <c r="G403" s="5" t="s">
        <v>31</v>
      </c>
      <c r="H403" s="5" t="s">
        <v>41</v>
      </c>
      <c r="I403" s="5" t="s">
        <v>42</v>
      </c>
      <c r="J403" s="6" t="n">
        <v>1</v>
      </c>
      <c r="K403" s="5" t="s">
        <v>76</v>
      </c>
      <c r="L403" s="5" t="n">
        <f aca="false">IF($K403="",0,LEN($K403)-LEN(SUBSTITUTE($K403,",",""))+1)</f>
        <v>1</v>
      </c>
      <c r="M403" s="5" t="s">
        <v>44</v>
      </c>
      <c r="N403" s="5" t="str">
        <f aca="false">TRIM($A403&amp;" "&amp;IF($C403="",$R403,$C403&amp;" "&amp;$D403&amp;" "&amp;$E403&amp;" "&amp;$F403))</f>
        <v>Total Wine #535</v>
      </c>
      <c r="O403" s="5" t="str">
        <f aca="false">IF($P403&lt;&gt;"","Exclude",IF(AND($M403&lt;&gt;"Full address",$R403=""),"Needs address",IF($J403&lt;0.5,"Hold - low volume",IF(LEFT($W403,3)="Low","Verify address",IF($G403="Needs review","Needs premise review",IF($X403="Estimated","Ready - address estimated","Ready"))))))</f>
        <v>Needs address</v>
      </c>
      <c r="P403" s="5"/>
      <c r="Q403" s="5" t="s">
        <v>45</v>
      </c>
      <c r="R403" s="5"/>
      <c r="S403" s="5"/>
      <c r="T403" s="7"/>
      <c r="U403" s="7"/>
      <c r="V403" s="5"/>
      <c r="W403" s="5"/>
      <c r="X403" s="5" t="s">
        <v>3</v>
      </c>
      <c r="Y403" s="8" t="str">
        <f aca="false">IF($C403&lt;&gt;"",TRIM($C403&amp;", "&amp;$D403&amp;", "&amp;$E403&amp;" "&amp;$F403),IF($R403&lt;&gt;"",$R403,IF($D403&lt;&gt;"",$D403&amp;", "&amp;$E403,$I403)))</f>
        <v>Irving, TX</v>
      </c>
    </row>
    <row r="404" customFormat="false" ht="15" hidden="false" customHeight="true" outlineLevel="0" collapsed="false">
      <c r="A404" s="5" t="s">
        <v>1343</v>
      </c>
      <c r="B404" s="5" t="s">
        <v>1343</v>
      </c>
      <c r="C404" s="5"/>
      <c r="D404" s="5" t="s">
        <v>1344</v>
      </c>
      <c r="E404" s="5" t="s">
        <v>40</v>
      </c>
      <c r="F404" s="5"/>
      <c r="G404" s="5" t="s">
        <v>31</v>
      </c>
      <c r="H404" s="5" t="s">
        <v>157</v>
      </c>
      <c r="I404" s="5" t="s">
        <v>42</v>
      </c>
      <c r="J404" s="6" t="n">
        <v>1</v>
      </c>
      <c r="K404" s="5" t="s">
        <v>76</v>
      </c>
      <c r="L404" s="5" t="n">
        <f aca="false">IF($K404="",0,LEN($K404)-LEN(SUBSTITUTE($K404,",",""))+1)</f>
        <v>1</v>
      </c>
      <c r="M404" s="5" t="s">
        <v>44</v>
      </c>
      <c r="N404" s="5" t="str">
        <f aca="false">TRIM($A404&amp;" "&amp;IF($C404="",$R404,$C404&amp;" "&amp;$D404&amp;" "&amp;$E404&amp;" "&amp;$F404))</f>
        <v>Uptown Liquor</v>
      </c>
      <c r="O404" s="5" t="str">
        <f aca="false">IF($P404&lt;&gt;"","Exclude",IF(AND($M404&lt;&gt;"Full address",$R404=""),"Needs address",IF($J404&lt;0.5,"Hold - low volume",IF(LEFT($W404,3)="Low","Verify address",IF($G404="Needs review","Needs premise review",IF($X404="Estimated","Ready - address estimated","Ready"))))))</f>
        <v>Needs address</v>
      </c>
      <c r="P404" s="5"/>
      <c r="Q404" s="5" t="s">
        <v>45</v>
      </c>
      <c r="R404" s="5"/>
      <c r="S404" s="5"/>
      <c r="T404" s="7"/>
      <c r="U404" s="7"/>
      <c r="V404" s="5"/>
      <c r="W404" s="5"/>
      <c r="X404" s="5" t="s">
        <v>3</v>
      </c>
      <c r="Y404" s="8" t="str">
        <f aca="false">IF($C404&lt;&gt;"",TRIM($C404&amp;", "&amp;$D404&amp;", "&amp;$E404&amp;" "&amp;$F404),IF($R404&lt;&gt;"",$R404,IF($D404&lt;&gt;"",$D404&amp;", "&amp;$E404,$I404)))</f>
        <v>Haker Heights, TX</v>
      </c>
    </row>
    <row r="405" customFormat="false" ht="15" hidden="false" customHeight="true" outlineLevel="0" collapsed="false">
      <c r="A405" s="5" t="s">
        <v>1345</v>
      </c>
      <c r="B405" s="5" t="s">
        <v>1345</v>
      </c>
      <c r="C405" s="5"/>
      <c r="D405" s="5" t="s">
        <v>1346</v>
      </c>
      <c r="E405" s="5" t="s">
        <v>40</v>
      </c>
      <c r="F405" s="5"/>
      <c r="G405" s="5" t="s">
        <v>31</v>
      </c>
      <c r="H405" s="5" t="s">
        <v>360</v>
      </c>
      <c r="I405" s="5" t="s">
        <v>42</v>
      </c>
      <c r="J405" s="6" t="n">
        <v>1</v>
      </c>
      <c r="K405" s="5" t="s">
        <v>76</v>
      </c>
      <c r="L405" s="5" t="n">
        <f aca="false">IF($K405="",0,LEN($K405)-LEN(SUBSTITUTE($K405,",",""))+1)</f>
        <v>1</v>
      </c>
      <c r="M405" s="5" t="s">
        <v>44</v>
      </c>
      <c r="N405" s="5" t="str">
        <f aca="false">TRIM($A405&amp;" "&amp;IF($C405="",$R405,$C405&amp;" "&amp;$D405&amp;" "&amp;$E405&amp;" "&amp;$F405))</f>
        <v>WB Liquors #111</v>
      </c>
      <c r="O405" s="5" t="str">
        <f aca="false">IF($P405&lt;&gt;"","Exclude",IF(AND($M405&lt;&gt;"Full address",$R405=""),"Needs address",IF($J405&lt;0.5,"Hold - low volume",IF(LEFT($W405,3)="Low","Verify address",IF($G405="Needs review","Needs premise review",IF($X405="Estimated","Ready - address estimated","Ready"))))))</f>
        <v>Needs address</v>
      </c>
      <c r="P405" s="5"/>
      <c r="Q405" s="5" t="s">
        <v>45</v>
      </c>
      <c r="R405" s="5"/>
      <c r="S405" s="5"/>
      <c r="T405" s="7"/>
      <c r="U405" s="7"/>
      <c r="V405" s="5"/>
      <c r="W405" s="5"/>
      <c r="X405" s="5" t="s">
        <v>3</v>
      </c>
      <c r="Y405" s="8" t="str">
        <f aca="false">IF($C405&lt;&gt;"",TRIM($C405&amp;", "&amp;$D405&amp;", "&amp;$E405&amp;" "&amp;$F405),IF($R405&lt;&gt;"",$R405,IF($D405&lt;&gt;"",$D405&amp;", "&amp;$E405,$I405)))</f>
        <v>Pearsall, TX</v>
      </c>
    </row>
    <row r="406" customFormat="false" ht="15" hidden="false" customHeight="true" outlineLevel="0" collapsed="false">
      <c r="A406" s="5" t="s">
        <v>1347</v>
      </c>
      <c r="B406" s="5" t="s">
        <v>1347</v>
      </c>
      <c r="C406" s="5"/>
      <c r="D406" s="5" t="s">
        <v>1348</v>
      </c>
      <c r="E406" s="5" t="s">
        <v>40</v>
      </c>
      <c r="F406" s="5"/>
      <c r="G406" s="5" t="s">
        <v>31</v>
      </c>
      <c r="H406" s="5" t="s">
        <v>157</v>
      </c>
      <c r="I406" s="5" t="s">
        <v>42</v>
      </c>
      <c r="J406" s="6" t="n">
        <v>1</v>
      </c>
      <c r="K406" s="5" t="s">
        <v>76</v>
      </c>
      <c r="L406" s="5" t="n">
        <f aca="false">IF($K406="",0,LEN($K406)-LEN(SUBSTITUTE($K406,",",""))+1)</f>
        <v>1</v>
      </c>
      <c r="M406" s="5" t="s">
        <v>44</v>
      </c>
      <c r="N406" s="5" t="str">
        <f aca="false">TRIM($A406&amp;" "&amp;IF($C406="",$R406,$C406&amp;" "&amp;$D406&amp;" "&amp;$E406&amp;" "&amp;$F406))</f>
        <v>WB Liquors #120</v>
      </c>
      <c r="O406" s="5" t="str">
        <f aca="false">IF($P406&lt;&gt;"","Exclude",IF(AND($M406&lt;&gt;"Full address",$R406=""),"Needs address",IF($J406&lt;0.5,"Hold - low volume",IF(LEFT($W406,3)="Low","Verify address",IF($G406="Needs review","Needs premise review",IF($X406="Estimated","Ready - address estimated","Ready"))))))</f>
        <v>Needs address</v>
      </c>
      <c r="P406" s="5"/>
      <c r="Q406" s="5" t="s">
        <v>45</v>
      </c>
      <c r="R406" s="5"/>
      <c r="S406" s="5"/>
      <c r="T406" s="7"/>
      <c r="U406" s="7"/>
      <c r="V406" s="5"/>
      <c r="W406" s="5"/>
      <c r="X406" s="5" t="s">
        <v>3</v>
      </c>
      <c r="Y406" s="8" t="str">
        <f aca="false">IF($C406&lt;&gt;"",TRIM($C406&amp;", "&amp;$D406&amp;", "&amp;$E406&amp;" "&amp;$F406),IF($R406&lt;&gt;"",$R406,IF($D406&lt;&gt;"",$D406&amp;", "&amp;$E406,$I406)))</f>
        <v>Port Aransas, TX</v>
      </c>
    </row>
    <row r="407" customFormat="false" ht="15" hidden="false" customHeight="true" outlineLevel="0" collapsed="false">
      <c r="A407" s="5" t="s">
        <v>1349</v>
      </c>
      <c r="B407" s="5" t="s">
        <v>1349</v>
      </c>
      <c r="C407" s="5"/>
      <c r="D407" s="5" t="s">
        <v>1350</v>
      </c>
      <c r="E407" s="5" t="s">
        <v>40</v>
      </c>
      <c r="F407" s="5"/>
      <c r="G407" s="5" t="s">
        <v>31</v>
      </c>
      <c r="H407" s="5" t="s">
        <v>360</v>
      </c>
      <c r="I407" s="5" t="s">
        <v>42</v>
      </c>
      <c r="J407" s="6" t="n">
        <v>1</v>
      </c>
      <c r="K407" s="5" t="s">
        <v>76</v>
      </c>
      <c r="L407" s="5" t="n">
        <f aca="false">IF($K407="",0,LEN($K407)-LEN(SUBSTITUTE($K407,",",""))+1)</f>
        <v>1</v>
      </c>
      <c r="M407" s="5" t="s">
        <v>44</v>
      </c>
      <c r="N407" s="5" t="str">
        <f aca="false">TRIM($A407&amp;" "&amp;IF($C407="",$R407,$C407&amp;" "&amp;$D407&amp;" "&amp;$E407&amp;" "&amp;$F407))</f>
        <v>WB Liquors #121</v>
      </c>
      <c r="O407" s="5" t="str">
        <f aca="false">IF($P407&lt;&gt;"","Exclude",IF(AND($M407&lt;&gt;"Full address",$R407=""),"Needs address",IF($J407&lt;0.5,"Hold - low volume",IF(LEFT($W407,3)="Low","Verify address",IF($G407="Needs review","Needs premise review",IF($X407="Estimated","Ready - address estimated","Ready"))))))</f>
        <v>Needs address</v>
      </c>
      <c r="P407" s="5"/>
      <c r="Q407" s="5" t="s">
        <v>45</v>
      </c>
      <c r="R407" s="5"/>
      <c r="S407" s="5"/>
      <c r="T407" s="7"/>
      <c r="U407" s="7"/>
      <c r="V407" s="5"/>
      <c r="W407" s="5"/>
      <c r="X407" s="5" t="s">
        <v>3</v>
      </c>
      <c r="Y407" s="8" t="str">
        <f aca="false">IF($C407&lt;&gt;"",TRIM($C407&amp;", "&amp;$D407&amp;", "&amp;$E407&amp;" "&amp;$F407),IF($R407&lt;&gt;"",$R407,IF($D407&lt;&gt;"",$D407&amp;", "&amp;$E407,$I407)))</f>
        <v>Corpus Christi, TX</v>
      </c>
    </row>
    <row r="408" customFormat="false" ht="15" hidden="false" customHeight="true" outlineLevel="0" collapsed="false">
      <c r="A408" s="5" t="s">
        <v>1351</v>
      </c>
      <c r="B408" s="5" t="s">
        <v>1351</v>
      </c>
      <c r="C408" s="5"/>
      <c r="D408" s="5" t="s">
        <v>271</v>
      </c>
      <c r="E408" s="5" t="s">
        <v>40</v>
      </c>
      <c r="F408" s="5"/>
      <c r="G408" s="5" t="s">
        <v>31</v>
      </c>
      <c r="H408" s="5" t="s">
        <v>157</v>
      </c>
      <c r="I408" s="5" t="s">
        <v>42</v>
      </c>
      <c r="J408" s="6" t="n">
        <v>1</v>
      </c>
      <c r="K408" s="5" t="s">
        <v>76</v>
      </c>
      <c r="L408" s="5" t="n">
        <f aca="false">IF($K408="",0,LEN($K408)-LEN(SUBSTITUTE($K408,",",""))+1)</f>
        <v>1</v>
      </c>
      <c r="M408" s="5" t="s">
        <v>44</v>
      </c>
      <c r="N408" s="5" t="str">
        <f aca="false">TRIM($A408&amp;" "&amp;IF($C408="",$R408,$C408&amp;" "&amp;$D408&amp;" "&amp;$E408&amp;" "&amp;$F408))</f>
        <v>WB Liquors #83</v>
      </c>
      <c r="O408" s="5" t="str">
        <f aca="false">IF($P408&lt;&gt;"","Exclude",IF(AND($M408&lt;&gt;"Full address",$R408=""),"Needs address",IF($J408&lt;0.5,"Hold - low volume",IF(LEFT($W408,3)="Low","Verify address",IF($G408="Needs review","Needs premise review",IF($X408="Estimated","Ready - address estimated","Ready"))))))</f>
        <v>Needs address</v>
      </c>
      <c r="P408" s="5"/>
      <c r="Q408" s="5" t="s">
        <v>45</v>
      </c>
      <c r="R408" s="5"/>
      <c r="S408" s="5"/>
      <c r="T408" s="7"/>
      <c r="U408" s="7"/>
      <c r="V408" s="5"/>
      <c r="W408" s="5"/>
      <c r="X408" s="5" t="s">
        <v>3</v>
      </c>
      <c r="Y408" s="8" t="str">
        <f aca="false">IF($C408&lt;&gt;"",TRIM($C408&amp;", "&amp;$D408&amp;", "&amp;$E408&amp;" "&amp;$F408),IF($R408&lt;&gt;"",$R408,IF($D408&lt;&gt;"",$D408&amp;", "&amp;$E408,$I408)))</f>
        <v>El Paso, TX</v>
      </c>
    </row>
    <row r="409" customFormat="false" ht="15" hidden="false" customHeight="true" outlineLevel="0" collapsed="false">
      <c r="A409" s="5" t="s">
        <v>1352</v>
      </c>
      <c r="B409" s="5" t="s">
        <v>1352</v>
      </c>
      <c r="C409" s="5"/>
      <c r="D409" s="5" t="s">
        <v>1353</v>
      </c>
      <c r="E409" s="5" t="s">
        <v>40</v>
      </c>
      <c r="F409" s="5"/>
      <c r="G409" s="5" t="s">
        <v>31</v>
      </c>
      <c r="H409" s="5" t="s">
        <v>157</v>
      </c>
      <c r="I409" s="5" t="s">
        <v>42</v>
      </c>
      <c r="J409" s="6" t="n">
        <v>1</v>
      </c>
      <c r="K409" s="5" t="s">
        <v>76</v>
      </c>
      <c r="L409" s="5" t="n">
        <f aca="false">IF($K409="",0,LEN($K409)-LEN(SUBSTITUTE($K409,",",""))+1)</f>
        <v>1</v>
      </c>
      <c r="M409" s="5" t="s">
        <v>44</v>
      </c>
      <c r="N409" s="5" t="str">
        <f aca="false">TRIM($A409&amp;" "&amp;IF($C409="",$R409,$C409&amp;" "&amp;$D409&amp;" "&amp;$E409&amp;" "&amp;$F409))</f>
        <v>WB Liquors #84</v>
      </c>
      <c r="O409" s="5" t="str">
        <f aca="false">IF($P409&lt;&gt;"","Exclude",IF(AND($M409&lt;&gt;"Full address",$R409=""),"Needs address",IF($J409&lt;0.5,"Hold - low volume",IF(LEFT($W409,3)="Low","Verify address",IF($G409="Needs review","Needs premise review",IF($X409="Estimated","Ready - address estimated","Ready"))))))</f>
        <v>Needs address</v>
      </c>
      <c r="P409" s="5"/>
      <c r="Q409" s="5" t="s">
        <v>45</v>
      </c>
      <c r="R409" s="5"/>
      <c r="S409" s="5"/>
      <c r="T409" s="7"/>
      <c r="U409" s="7"/>
      <c r="V409" s="5"/>
      <c r="W409" s="5"/>
      <c r="X409" s="5" t="s">
        <v>3</v>
      </c>
      <c r="Y409" s="8" t="str">
        <f aca="false">IF($C409&lt;&gt;"",TRIM($C409&amp;", "&amp;$D409&amp;", "&amp;$E409&amp;" "&amp;$F409),IF($R409&lt;&gt;"",$R409,IF($D409&lt;&gt;"",$D409&amp;", "&amp;$E409,$I409)))</f>
        <v>Horizon City, TX</v>
      </c>
    </row>
    <row r="410" customFormat="false" ht="15" hidden="false" customHeight="true" outlineLevel="0" collapsed="false">
      <c r="A410" s="5" t="s">
        <v>1354</v>
      </c>
      <c r="B410" s="5" t="s">
        <v>1355</v>
      </c>
      <c r="C410" s="5" t="s">
        <v>1356</v>
      </c>
      <c r="D410" s="5" t="s">
        <v>1357</v>
      </c>
      <c r="E410" s="5" t="s">
        <v>29</v>
      </c>
      <c r="F410" s="5" t="s">
        <v>1358</v>
      </c>
      <c r="G410" s="5" t="s">
        <v>144</v>
      </c>
      <c r="H410" s="5" t="s">
        <v>32</v>
      </c>
      <c r="I410" s="5" t="s">
        <v>33</v>
      </c>
      <c r="J410" s="6" t="n">
        <v>0.99</v>
      </c>
      <c r="K410" s="5" t="s">
        <v>34</v>
      </c>
      <c r="L410" s="5" t="n">
        <f aca="false">IF($K410="",0,LEN($K410)-LEN(SUBSTITUTE($K410,",",""))+1)</f>
        <v>3</v>
      </c>
      <c r="M410" s="5" t="s">
        <v>35</v>
      </c>
      <c r="N410" s="5" t="str">
        <f aca="false">TRIM($A410&amp;" "&amp;IF($C410="",$R410,$C410&amp;" "&amp;$D410&amp;" "&amp;$E410&amp;" "&amp;$F410))</f>
        <v>LIQUID LIBRARY 672 BRAVES BLVD SUITE 30 Rome GA 30161</v>
      </c>
      <c r="O410" s="5" t="str">
        <f aca="false">IF($P410&lt;&gt;"","Exclude",IF(AND($M410&lt;&gt;"Full address",$R410=""),"Needs address",IF($J410&lt;0.5,"Hold - low volume",IF(LEFT($W410,3)="Low","Verify address",IF($G410="Needs review","Needs premise review",IF($X410="Estimated","Ready - address estimated","Ready"))))))</f>
        <v>Needs premise review</v>
      </c>
      <c r="P410" s="5"/>
      <c r="Q410" s="5" t="s">
        <v>36</v>
      </c>
      <c r="R410" s="5"/>
      <c r="S410" s="5"/>
      <c r="T410" s="7"/>
      <c r="U410" s="7"/>
      <c r="V410" s="5"/>
      <c r="W410" s="5"/>
      <c r="X410" s="5" t="s">
        <v>37</v>
      </c>
      <c r="Y410" s="8" t="str">
        <f aca="false">IF($C410&lt;&gt;"",TRIM($C410&amp;", "&amp;$D410&amp;", "&amp;$E410&amp;" "&amp;$F410),IF($R410&lt;&gt;"",$R410,IF($D410&lt;&gt;"",$D410&amp;", "&amp;$E410,$I410)))</f>
        <v>672 BRAVES BLVD SUITE 30, Rome, GA 30161</v>
      </c>
    </row>
    <row r="411" customFormat="false" ht="15" hidden="false" customHeight="true" outlineLevel="0" collapsed="false">
      <c r="A411" s="5" t="s">
        <v>1359</v>
      </c>
      <c r="B411" s="5" t="s">
        <v>1360</v>
      </c>
      <c r="C411" s="5" t="s">
        <v>1361</v>
      </c>
      <c r="D411" s="5" t="s">
        <v>1362</v>
      </c>
      <c r="E411" s="5" t="s">
        <v>493</v>
      </c>
      <c r="F411" s="5" t="s">
        <v>1363</v>
      </c>
      <c r="G411" s="5" t="s">
        <v>144</v>
      </c>
      <c r="H411" s="5" t="s">
        <v>495</v>
      </c>
      <c r="I411" s="5" t="s">
        <v>496</v>
      </c>
      <c r="J411" s="6" t="n">
        <v>0.99</v>
      </c>
      <c r="K411" s="5" t="s">
        <v>34</v>
      </c>
      <c r="L411" s="5" t="n">
        <f aca="false">IF($K411="",0,LEN($K411)-LEN(SUBSTITUTE($K411,",",""))+1)</f>
        <v>3</v>
      </c>
      <c r="M411" s="5" t="s">
        <v>35</v>
      </c>
      <c r="N411" s="5" t="str">
        <f aca="false">TRIM($A411&amp;" "&amp;IF($C411="",$R411,$C411&amp;" "&amp;$D411&amp;" "&amp;$E411&amp;" "&amp;$F411))</f>
        <v>Macadoodles Dardenne Prairie 1555 Bryan Rd Dardenne Paririe MO 63366</v>
      </c>
      <c r="O411" s="5" t="str">
        <f aca="false">IF($P411&lt;&gt;"","Exclude",IF(AND($M411&lt;&gt;"Full address",$R411=""),"Needs address",IF($J411&lt;0.5,"Hold - low volume",IF(LEFT($W411,3)="Low","Verify address",IF($G411="Needs review","Needs premise review",IF($X411="Estimated","Ready - address estimated","Ready"))))))</f>
        <v>Needs premise review</v>
      </c>
      <c r="P411" s="5"/>
      <c r="Q411" s="5" t="s">
        <v>498</v>
      </c>
      <c r="R411" s="5"/>
      <c r="S411" s="5"/>
      <c r="T411" s="7"/>
      <c r="U411" s="7"/>
      <c r="V411" s="5"/>
      <c r="W411" s="5"/>
      <c r="X411" s="5" t="s">
        <v>37</v>
      </c>
      <c r="Y411" s="8" t="str">
        <f aca="false">IF($C411&lt;&gt;"",TRIM($C411&amp;", "&amp;$D411&amp;", "&amp;$E411&amp;" "&amp;$F411),IF($R411&lt;&gt;"",$R411,IF($D411&lt;&gt;"",$D411&amp;", "&amp;$E411,$I411)))</f>
        <v>1555 Bryan Rd, Dardenne Paririe, MO 63366</v>
      </c>
    </row>
    <row r="412" customFormat="false" ht="15" hidden="false" customHeight="true" outlineLevel="0" collapsed="false">
      <c r="A412" s="5" t="s">
        <v>1364</v>
      </c>
      <c r="B412" s="5" t="s">
        <v>1364</v>
      </c>
      <c r="C412" s="5"/>
      <c r="D412" s="5" t="s">
        <v>161</v>
      </c>
      <c r="E412" s="5" t="s">
        <v>147</v>
      </c>
      <c r="F412" s="5"/>
      <c r="G412" s="5" t="s">
        <v>31</v>
      </c>
      <c r="H412" s="5" t="s">
        <v>148</v>
      </c>
      <c r="I412" s="5" t="s">
        <v>149</v>
      </c>
      <c r="J412" s="6" t="n">
        <v>0.99</v>
      </c>
      <c r="K412" s="5" t="s">
        <v>325</v>
      </c>
      <c r="L412" s="5" t="n">
        <f aca="false">IF($K412="",0,LEN($K412)-LEN(SUBSTITUTE($K412,",",""))+1)</f>
        <v>3</v>
      </c>
      <c r="M412" s="5" t="s">
        <v>44</v>
      </c>
      <c r="N412" s="5" t="str">
        <f aca="false">TRIM($A412&amp;" "&amp;IF($C412="",$R412,$C412&amp;" "&amp;$D412&amp;" "&amp;$E412&amp;" "&amp;$F412))</f>
        <v>MR LIQUOR Socastee</v>
      </c>
      <c r="O412" s="5" t="str">
        <f aca="false">IF($P412&lt;&gt;"","Exclude",IF(AND($M412&lt;&gt;"Full address",$R412=""),"Needs address",IF($J412&lt;0.5,"Hold - low volume",IF(LEFT($W412,3)="Low","Verify address",IF($G412="Needs review","Needs premise review",IF($X412="Estimated","Ready - address estimated","Ready"))))))</f>
        <v>Needs address</v>
      </c>
      <c r="P412" s="5"/>
      <c r="Q412" s="5" t="s">
        <v>150</v>
      </c>
      <c r="R412" s="5"/>
      <c r="S412" s="5"/>
      <c r="T412" s="7"/>
      <c r="U412" s="7"/>
      <c r="V412" s="5"/>
      <c r="W412" s="5"/>
      <c r="X412" s="5" t="s">
        <v>3</v>
      </c>
      <c r="Y412" s="8" t="str">
        <f aca="false">IF($C412&lt;&gt;"",TRIM($C412&amp;", "&amp;$D412&amp;", "&amp;$E412&amp;" "&amp;$F412),IF($R412&lt;&gt;"",$R412,IF($D412&lt;&gt;"",$D412&amp;", "&amp;$E412,$I412)))</f>
        <v>Myrtle Beach, SC</v>
      </c>
    </row>
    <row r="413" customFormat="false" ht="15" hidden="false" customHeight="true" outlineLevel="0" collapsed="false">
      <c r="A413" s="5" t="s">
        <v>1365</v>
      </c>
      <c r="B413" s="5" t="s">
        <v>1366</v>
      </c>
      <c r="C413" s="5" t="s">
        <v>1367</v>
      </c>
      <c r="D413" s="5" t="s">
        <v>1368</v>
      </c>
      <c r="E413" s="5" t="s">
        <v>484</v>
      </c>
      <c r="F413" s="5" t="s">
        <v>1369</v>
      </c>
      <c r="G413" s="5" t="s">
        <v>31</v>
      </c>
      <c r="H413" s="5" t="s">
        <v>486</v>
      </c>
      <c r="I413" s="5" t="s">
        <v>487</v>
      </c>
      <c r="J413" s="6" t="n">
        <v>0.83</v>
      </c>
      <c r="K413" s="5" t="s">
        <v>34</v>
      </c>
      <c r="L413" s="5" t="n">
        <f aca="false">IF($K413="",0,LEN($K413)-LEN(SUBSTITUTE($K413,",",""))+1)</f>
        <v>3</v>
      </c>
      <c r="M413" s="5" t="s">
        <v>35</v>
      </c>
      <c r="N413" s="5" t="str">
        <f aca="false">TRIM($A413&amp;" "&amp;IF($C413="",$R413,$C413&amp;" "&amp;$D413&amp;" "&amp;$E413&amp;" "&amp;$F413))</f>
        <v>The Bottle Shop 7300 W 80th St Overland Park KS 66204</v>
      </c>
      <c r="O413" s="5" t="str">
        <f aca="false">IF($P413&lt;&gt;"","Exclude",IF(AND($M413&lt;&gt;"Full address",$R413=""),"Needs address",IF($J413&lt;0.5,"Hold - low volume",IF(LEFT($W413,3)="Low","Verify address",IF($G413="Needs review","Needs premise review",IF($X413="Estimated","Ready - address estimated","Ready"))))))</f>
        <v>Ready</v>
      </c>
      <c r="P413" s="5"/>
      <c r="Q413" s="5" t="s">
        <v>488</v>
      </c>
      <c r="R413" s="5"/>
      <c r="S413" s="5"/>
      <c r="T413" s="7"/>
      <c r="U413" s="7"/>
      <c r="V413" s="5"/>
      <c r="W413" s="5"/>
      <c r="X413" s="5" t="s">
        <v>37</v>
      </c>
      <c r="Y413" s="8" t="str">
        <f aca="false">IF($C413&lt;&gt;"",TRIM($C413&amp;", "&amp;$D413&amp;", "&amp;$E413&amp;" "&amp;$F413),IF($R413&lt;&gt;"",$R413,IF($D413&lt;&gt;"",$D413&amp;", "&amp;$E413,$I413)))</f>
        <v>7300 W 80th St, Overland Park, KS 66204</v>
      </c>
    </row>
    <row r="414" customFormat="false" ht="15" hidden="false" customHeight="true" outlineLevel="0" collapsed="false">
      <c r="A414" s="5" t="s">
        <v>1370</v>
      </c>
      <c r="B414" s="5" t="s">
        <v>1370</v>
      </c>
      <c r="C414" s="5"/>
      <c r="D414" s="5" t="s">
        <v>1371</v>
      </c>
      <c r="E414" s="5" t="s">
        <v>40</v>
      </c>
      <c r="F414" s="5"/>
      <c r="G414" s="5" t="s">
        <v>144</v>
      </c>
      <c r="H414" s="5" t="s">
        <v>360</v>
      </c>
      <c r="I414" s="5" t="s">
        <v>42</v>
      </c>
      <c r="J414" s="6" t="n">
        <v>0.83</v>
      </c>
      <c r="K414" s="5" t="s">
        <v>63</v>
      </c>
      <c r="L414" s="5" t="n">
        <f aca="false">IF($K414="",0,LEN($K414)-LEN(SUBSTITUTE($K414,",",""))+1)</f>
        <v>2</v>
      </c>
      <c r="M414" s="5" t="s">
        <v>44</v>
      </c>
      <c r="N414" s="5" t="str">
        <f aca="false">TRIM($A414&amp;" "&amp;IF($C414="",$R414,$C414&amp;" "&amp;$D414&amp;" "&amp;$E414&amp;" "&amp;$F414))</f>
        <v>Spec's #095 Georgetown</v>
      </c>
      <c r="O414" s="5" t="str">
        <f aca="false">IF($P414&lt;&gt;"","Exclude",IF(AND($M414&lt;&gt;"Full address",$R414=""),"Needs address",IF($J414&lt;0.5,"Hold - low volume",IF(LEFT($W414,3)="Low","Verify address",IF($G414="Needs review","Needs premise review",IF($X414="Estimated","Ready - address estimated","Ready"))))))</f>
        <v>Needs address</v>
      </c>
      <c r="P414" s="5"/>
      <c r="Q414" s="5" t="s">
        <v>45</v>
      </c>
      <c r="R414" s="5"/>
      <c r="S414" s="5"/>
      <c r="T414" s="7"/>
      <c r="U414" s="7"/>
      <c r="V414" s="5"/>
      <c r="W414" s="5"/>
      <c r="X414" s="5" t="s">
        <v>3</v>
      </c>
      <c r="Y414" s="8" t="str">
        <f aca="false">IF($C414&lt;&gt;"",TRIM($C414&amp;", "&amp;$D414&amp;", "&amp;$E414&amp;" "&amp;$F414),IF($R414&lt;&gt;"",$R414,IF($D414&lt;&gt;"",$D414&amp;", "&amp;$E414,$I414)))</f>
        <v>Georgetown, TX</v>
      </c>
    </row>
    <row r="415" customFormat="false" ht="15" hidden="false" customHeight="true" outlineLevel="0" collapsed="false">
      <c r="A415" s="5" t="s">
        <v>1372</v>
      </c>
      <c r="B415" s="5" t="s">
        <v>1372</v>
      </c>
      <c r="C415" s="5"/>
      <c r="D415" s="5" t="s">
        <v>349</v>
      </c>
      <c r="E415" s="5" t="s">
        <v>40</v>
      </c>
      <c r="F415" s="5"/>
      <c r="G415" s="5" t="s">
        <v>144</v>
      </c>
      <c r="H415" s="5" t="s">
        <v>41</v>
      </c>
      <c r="I415" s="5" t="s">
        <v>42</v>
      </c>
      <c r="J415" s="6" t="n">
        <v>0.83</v>
      </c>
      <c r="K415" s="5" t="s">
        <v>34</v>
      </c>
      <c r="L415" s="5" t="n">
        <f aca="false">IF($K415="",0,LEN($K415)-LEN(SUBSTITUTE($K415,",",""))+1)</f>
        <v>3</v>
      </c>
      <c r="M415" s="5" t="s">
        <v>44</v>
      </c>
      <c r="N415" s="5" t="str">
        <f aca="false">TRIM($A415&amp;" "&amp;IF($C415="",$R415,$C415&amp;" "&amp;$D415&amp;" "&amp;$E415&amp;" "&amp;$F415))</f>
        <v>Spec's #178 Citadel</v>
      </c>
      <c r="O415" s="5" t="str">
        <f aca="false">IF($P415&lt;&gt;"","Exclude",IF(AND($M415&lt;&gt;"Full address",$R415=""),"Needs address",IF($J415&lt;0.5,"Hold - low volume",IF(LEFT($W415,3)="Low","Verify address",IF($G415="Needs review","Needs premise review",IF($X415="Estimated","Ready - address estimated","Ready"))))))</f>
        <v>Needs address</v>
      </c>
      <c r="P415" s="5"/>
      <c r="Q415" s="5" t="s">
        <v>45</v>
      </c>
      <c r="R415" s="5"/>
      <c r="S415" s="5"/>
      <c r="T415" s="7"/>
      <c r="U415" s="7"/>
      <c r="V415" s="5"/>
      <c r="W415" s="5"/>
      <c r="X415" s="5" t="s">
        <v>3</v>
      </c>
      <c r="Y415" s="8" t="str">
        <f aca="false">IF($C415&lt;&gt;"",TRIM($C415&amp;", "&amp;$D415&amp;", "&amp;$E415&amp;" "&amp;$F415),IF($R415&lt;&gt;"",$R415,IF($D415&lt;&gt;"",$D415&amp;", "&amp;$E415,$I415)))</f>
        <v>Fort Worth, TX</v>
      </c>
    </row>
    <row r="416" customFormat="false" ht="15" hidden="false" customHeight="true" outlineLevel="0" collapsed="false">
      <c r="A416" s="5" t="s">
        <v>1373</v>
      </c>
      <c r="B416" s="5" t="s">
        <v>1373</v>
      </c>
      <c r="C416" s="5"/>
      <c r="D416" s="5" t="s">
        <v>1374</v>
      </c>
      <c r="E416" s="5" t="s">
        <v>40</v>
      </c>
      <c r="F416" s="5"/>
      <c r="G416" s="5" t="s">
        <v>31</v>
      </c>
      <c r="H416" s="5" t="s">
        <v>360</v>
      </c>
      <c r="I416" s="5" t="s">
        <v>42</v>
      </c>
      <c r="J416" s="6" t="n">
        <v>0.83</v>
      </c>
      <c r="K416" s="5" t="s">
        <v>395</v>
      </c>
      <c r="L416" s="5" t="n">
        <f aca="false">IF($K416="",0,LEN($K416)-LEN(SUBSTITUTE($K416,",",""))+1)</f>
        <v>2</v>
      </c>
      <c r="M416" s="5" t="s">
        <v>44</v>
      </c>
      <c r="N416" s="5" t="str">
        <f aca="false">TRIM($A416&amp;" "&amp;IF($C416="",$R416,$C416&amp;" "&amp;$D416&amp;" "&amp;$E416&amp;" "&amp;$F416))</f>
        <v>Spec's #296 AUS Warehouse</v>
      </c>
      <c r="O416" s="5" t="str">
        <f aca="false">IF($P416&lt;&gt;"","Exclude",IF(AND($M416&lt;&gt;"Full address",$R416=""),"Needs address",IF($J416&lt;0.5,"Hold - low volume",IF(LEFT($W416,3)="Low","Verify address",IF($G416="Needs review","Needs premise review",IF($X416="Estimated","Ready - address estimated","Ready"))))))</f>
        <v>Needs address</v>
      </c>
      <c r="P416" s="5"/>
      <c r="Q416" s="5" t="s">
        <v>45</v>
      </c>
      <c r="R416" s="5"/>
      <c r="S416" s="5"/>
      <c r="T416" s="7"/>
      <c r="U416" s="7"/>
      <c r="V416" s="5"/>
      <c r="W416" s="5"/>
      <c r="X416" s="5" t="s">
        <v>3</v>
      </c>
      <c r="Y416" s="8" t="str">
        <f aca="false">IF($C416&lt;&gt;"",TRIM($C416&amp;", "&amp;$D416&amp;", "&amp;$E416&amp;" "&amp;$F416),IF($R416&lt;&gt;"",$R416,IF($D416&lt;&gt;"",$D416&amp;", "&amp;$E416,$I416)))</f>
        <v>Austin, TX</v>
      </c>
    </row>
    <row r="417" customFormat="false" ht="15" hidden="false" customHeight="true" outlineLevel="0" collapsed="false">
      <c r="A417" s="5" t="s">
        <v>1375</v>
      </c>
      <c r="B417" s="5" t="s">
        <v>1375</v>
      </c>
      <c r="C417" s="5"/>
      <c r="D417" s="5" t="s">
        <v>349</v>
      </c>
      <c r="E417" s="5" t="s">
        <v>40</v>
      </c>
      <c r="F417" s="5"/>
      <c r="G417" s="5" t="s">
        <v>31</v>
      </c>
      <c r="H417" s="5" t="s">
        <v>41</v>
      </c>
      <c r="I417" s="5" t="s">
        <v>42</v>
      </c>
      <c r="J417" s="6" t="n">
        <v>0.83</v>
      </c>
      <c r="K417" s="5" t="s">
        <v>63</v>
      </c>
      <c r="L417" s="5" t="n">
        <f aca="false">IF($K417="",0,LEN($K417)-LEN(SUBSTITUTE($K417,",",""))+1)</f>
        <v>2</v>
      </c>
      <c r="M417" s="5" t="s">
        <v>44</v>
      </c>
      <c r="N417" s="5" t="str">
        <f aca="false">TRIM($A417&amp;" "&amp;IF($C417="",$R417,$C417&amp;" "&amp;$D417&amp;" "&amp;$E417&amp;" "&amp;$F417))</f>
        <v>Speedway Liquor (DFW)</v>
      </c>
      <c r="O417" s="5" t="str">
        <f aca="false">IF($P417&lt;&gt;"","Exclude",IF(AND($M417&lt;&gt;"Full address",$R417=""),"Needs address",IF($J417&lt;0.5,"Hold - low volume",IF(LEFT($W417,3)="Low","Verify address",IF($G417="Needs review","Needs premise review",IF($X417="Estimated","Ready - address estimated","Ready"))))))</f>
        <v>Needs address</v>
      </c>
      <c r="P417" s="5"/>
      <c r="Q417" s="5" t="s">
        <v>45</v>
      </c>
      <c r="R417" s="5"/>
      <c r="S417" s="5"/>
      <c r="T417" s="7"/>
      <c r="U417" s="7"/>
      <c r="V417" s="5"/>
      <c r="W417" s="5"/>
      <c r="X417" s="5" t="s">
        <v>3</v>
      </c>
      <c r="Y417" s="8" t="str">
        <f aca="false">IF($C417&lt;&gt;"",TRIM($C417&amp;", "&amp;$D417&amp;", "&amp;$E417&amp;" "&amp;$F417),IF($R417&lt;&gt;"",$R417,IF($D417&lt;&gt;"",$D417&amp;", "&amp;$E417,$I417)))</f>
        <v>Fort Worth, TX</v>
      </c>
    </row>
    <row r="418" customFormat="false" ht="15" hidden="false" customHeight="true" outlineLevel="0" collapsed="false">
      <c r="A418" s="5" t="s">
        <v>1376</v>
      </c>
      <c r="B418" s="5" t="s">
        <v>1377</v>
      </c>
      <c r="C418" s="5" t="s">
        <v>1378</v>
      </c>
      <c r="D418" s="5" t="s">
        <v>1379</v>
      </c>
      <c r="E418" s="5" t="s">
        <v>59</v>
      </c>
      <c r="F418" s="5" t="s">
        <v>1380</v>
      </c>
      <c r="G418" s="5" t="s">
        <v>377</v>
      </c>
      <c r="H418" s="5" t="s">
        <v>61</v>
      </c>
      <c r="I418" s="5" t="s">
        <v>62</v>
      </c>
      <c r="J418" s="6" t="n">
        <v>0.68</v>
      </c>
      <c r="K418" s="5" t="s">
        <v>70</v>
      </c>
      <c r="L418" s="5" t="n">
        <f aca="false">IF($K418="",0,LEN($K418)-LEN(SUBSTITUTE($K418,",",""))+1)</f>
        <v>4</v>
      </c>
      <c r="M418" s="5" t="s">
        <v>35</v>
      </c>
      <c r="N418" s="5" t="str">
        <f aca="false">TRIM($A418&amp;" "&amp;IF($C418="",$R418,$C418&amp;" "&amp;$D418&amp;" "&amp;$E418&amp;" "&amp;$F418))</f>
        <v>Maria Bonita Restaurant 8242 Colorado Blvd Firestone CO 80504</v>
      </c>
      <c r="O418" s="5" t="str">
        <f aca="false">IF($P418&lt;&gt;"","Exclude",IF(AND($M418&lt;&gt;"Full address",$R418=""),"Needs address",IF($J418&lt;0.5,"Hold - low volume",IF(LEFT($W418,3)="Low","Verify address",IF($G418="Needs review","Needs premise review",IF($X418="Estimated","Ready - address estimated","Ready"))))))</f>
        <v>Ready</v>
      </c>
      <c r="P418" s="5"/>
      <c r="Q418" s="5" t="s">
        <v>64</v>
      </c>
      <c r="R418" s="5"/>
      <c r="S418" s="5"/>
      <c r="T418" s="7"/>
      <c r="U418" s="7"/>
      <c r="V418" s="5"/>
      <c r="W418" s="5"/>
      <c r="X418" s="5" t="s">
        <v>37</v>
      </c>
      <c r="Y418" s="8" t="str">
        <f aca="false">IF($C418&lt;&gt;"",TRIM($C418&amp;", "&amp;$D418&amp;", "&amp;$E418&amp;" "&amp;$F418),IF($R418&lt;&gt;"",$R418,IF($D418&lt;&gt;"",$D418&amp;", "&amp;$E418,$I418)))</f>
        <v>8242 Colorado Blvd, Firestone, CO 80504</v>
      </c>
    </row>
    <row r="419" customFormat="false" ht="15" hidden="false" customHeight="true" outlineLevel="0" collapsed="false">
      <c r="A419" s="5" t="s">
        <v>1381</v>
      </c>
      <c r="B419" s="5" t="s">
        <v>1382</v>
      </c>
      <c r="C419" s="5" t="s">
        <v>1383</v>
      </c>
      <c r="D419" s="5" t="s">
        <v>1384</v>
      </c>
      <c r="E419" s="5" t="s">
        <v>29</v>
      </c>
      <c r="F419" s="5" t="s">
        <v>1385</v>
      </c>
      <c r="G419" s="5" t="s">
        <v>31</v>
      </c>
      <c r="H419" s="5" t="s">
        <v>1386</v>
      </c>
      <c r="I419" s="5" t="s">
        <v>33</v>
      </c>
      <c r="J419" s="6" t="n">
        <v>0.67</v>
      </c>
      <c r="K419" s="5" t="s">
        <v>34</v>
      </c>
      <c r="L419" s="5" t="n">
        <f aca="false">IF($K419="",0,LEN($K419)-LEN(SUBSTITUTE($K419,",",""))+1)</f>
        <v>3</v>
      </c>
      <c r="M419" s="5" t="s">
        <v>35</v>
      </c>
      <c r="N419" s="5" t="str">
        <f aca="false">TRIM($A419&amp;" "&amp;IF($C419="",$R419,$C419&amp;" "&amp;$D419&amp;" "&amp;$E419&amp;" "&amp;$F419))</f>
        <v>Liquor hub #37515 527 W OGLETHORPE HWY Hinesville GA 31313</v>
      </c>
      <c r="O419" s="5" t="str">
        <f aca="false">IF($P419&lt;&gt;"","Exclude",IF(AND($M419&lt;&gt;"Full address",$R419=""),"Needs address",IF($J419&lt;0.5,"Hold - low volume",IF(LEFT($W419,3)="Low","Verify address",IF($G419="Needs review","Needs premise review",IF($X419="Estimated","Ready - address estimated","Ready"))))))</f>
        <v>Ready</v>
      </c>
      <c r="P419" s="5"/>
      <c r="Q419" s="5" t="s">
        <v>36</v>
      </c>
      <c r="R419" s="5"/>
      <c r="S419" s="5"/>
      <c r="T419" s="7"/>
      <c r="U419" s="7"/>
      <c r="V419" s="5"/>
      <c r="W419" s="5"/>
      <c r="X419" s="5" t="s">
        <v>37</v>
      </c>
      <c r="Y419" s="8" t="str">
        <f aca="false">IF($C419&lt;&gt;"",TRIM($C419&amp;", "&amp;$D419&amp;", "&amp;$E419&amp;" "&amp;$F419),IF($R419&lt;&gt;"",$R419,IF($D419&lt;&gt;"",$D419&amp;", "&amp;$E419,$I419)))</f>
        <v>527 W OGLETHORPE HWY, Hinesville, GA 31313</v>
      </c>
    </row>
    <row r="420" customFormat="false" ht="15" hidden="false" customHeight="true" outlineLevel="0" collapsed="false">
      <c r="A420" s="5" t="s">
        <v>1387</v>
      </c>
      <c r="B420" s="5" t="s">
        <v>1388</v>
      </c>
      <c r="C420" s="5" t="s">
        <v>1389</v>
      </c>
      <c r="D420" s="5" t="s">
        <v>1384</v>
      </c>
      <c r="E420" s="5" t="s">
        <v>29</v>
      </c>
      <c r="F420" s="5" t="s">
        <v>1385</v>
      </c>
      <c r="G420" s="5" t="s">
        <v>31</v>
      </c>
      <c r="H420" s="5" t="s">
        <v>1386</v>
      </c>
      <c r="I420" s="5" t="s">
        <v>33</v>
      </c>
      <c r="J420" s="6" t="n">
        <v>0.67</v>
      </c>
      <c r="K420" s="5" t="s">
        <v>426</v>
      </c>
      <c r="L420" s="5" t="n">
        <f aca="false">IF($K420="",0,LEN($K420)-LEN(SUBSTITUTE($K420,",",""))+1)</f>
        <v>1</v>
      </c>
      <c r="M420" s="5" t="s">
        <v>35</v>
      </c>
      <c r="N420" s="5" t="str">
        <f aca="false">TRIM($A420&amp;" "&amp;IF($C420="",$R420,$C420&amp;" "&amp;$D420&amp;" "&amp;$E420&amp;" "&amp;$F420))</f>
        <v>Patriot Liquors #36358 105 W HENDRY ST Hinesville GA 31313</v>
      </c>
      <c r="O420" s="5" t="str">
        <f aca="false">IF($P420&lt;&gt;"","Exclude",IF(AND($M420&lt;&gt;"Full address",$R420=""),"Needs address",IF($J420&lt;0.5,"Hold - low volume",IF(LEFT($W420,3)="Low","Verify address",IF($G420="Needs review","Needs premise review",IF($X420="Estimated","Ready - address estimated","Ready"))))))</f>
        <v>Ready</v>
      </c>
      <c r="P420" s="5"/>
      <c r="Q420" s="5" t="s">
        <v>36</v>
      </c>
      <c r="R420" s="5"/>
      <c r="S420" s="5"/>
      <c r="T420" s="7"/>
      <c r="U420" s="7"/>
      <c r="V420" s="5"/>
      <c r="W420" s="5"/>
      <c r="X420" s="5" t="s">
        <v>37</v>
      </c>
      <c r="Y420" s="8" t="str">
        <f aca="false">IF($C420&lt;&gt;"",TRIM($C420&amp;", "&amp;$D420&amp;", "&amp;$E420&amp;" "&amp;$F420),IF($R420&lt;&gt;"",$R420,IF($D420&lt;&gt;"",$D420&amp;", "&amp;$E420,$I420)))</f>
        <v>105 W HENDRY ST, Hinesville, GA 31313</v>
      </c>
    </row>
    <row r="421" customFormat="false" ht="15" hidden="false" customHeight="true" outlineLevel="0" collapsed="false">
      <c r="A421" s="5" t="s">
        <v>1390</v>
      </c>
      <c r="B421" s="5" t="s">
        <v>1391</v>
      </c>
      <c r="C421" s="5" t="s">
        <v>1392</v>
      </c>
      <c r="D421" s="5" t="s">
        <v>1393</v>
      </c>
      <c r="E421" s="5" t="s">
        <v>493</v>
      </c>
      <c r="F421" s="5" t="s">
        <v>1394</v>
      </c>
      <c r="G421" s="5" t="s">
        <v>31</v>
      </c>
      <c r="H421" s="5" t="s">
        <v>495</v>
      </c>
      <c r="I421" s="5" t="s">
        <v>496</v>
      </c>
      <c r="J421" s="6" t="n">
        <v>0.67</v>
      </c>
      <c r="K421" s="5" t="s">
        <v>76</v>
      </c>
      <c r="L421" s="5" t="n">
        <f aca="false">IF($K421="",0,LEN($K421)-LEN(SUBSTITUTE($K421,",",""))+1)</f>
        <v>1</v>
      </c>
      <c r="M421" s="5" t="s">
        <v>35</v>
      </c>
      <c r="N421" s="5" t="str">
        <f aca="false">TRIM($A421&amp;" "&amp;IF($C421="",$R421,$C421&amp;" "&amp;$D421&amp;" "&amp;$E421&amp;" "&amp;$F421))</f>
        <v>Hy-Vee Grocery Store #1033 625 US-40 Blue Springs MO 64014</v>
      </c>
      <c r="O421" s="5" t="str">
        <f aca="false">IF($P421&lt;&gt;"","Exclude",IF(AND($M421&lt;&gt;"Full address",$R421=""),"Needs address",IF($J421&lt;0.5,"Hold - low volume",IF(LEFT($W421,3)="Low","Verify address",IF($G421="Needs review","Needs premise review",IF($X421="Estimated","Ready - address estimated","Ready"))))))</f>
        <v>Ready</v>
      </c>
      <c r="P421" s="5"/>
      <c r="Q421" s="5" t="s">
        <v>498</v>
      </c>
      <c r="R421" s="5"/>
      <c r="S421" s="5"/>
      <c r="T421" s="7"/>
      <c r="U421" s="7"/>
      <c r="V421" s="5"/>
      <c r="W421" s="5"/>
      <c r="X421" s="5" t="s">
        <v>37</v>
      </c>
      <c r="Y421" s="8" t="str">
        <f aca="false">IF($C421&lt;&gt;"",TRIM($C421&amp;", "&amp;$D421&amp;", "&amp;$E421&amp;" "&amp;$F421),IF($R421&lt;&gt;"",$R421,IF($D421&lt;&gt;"",$D421&amp;", "&amp;$E421,$I421)))</f>
        <v>625 US-40, Blue Springs, MO 64014</v>
      </c>
    </row>
    <row r="422" customFormat="false" ht="15" hidden="false" customHeight="true" outlineLevel="0" collapsed="false">
      <c r="A422" s="5" t="s">
        <v>1395</v>
      </c>
      <c r="B422" s="5" t="s">
        <v>1395</v>
      </c>
      <c r="C422" s="5"/>
      <c r="D422" s="5" t="s">
        <v>926</v>
      </c>
      <c r="E422" s="5" t="s">
        <v>40</v>
      </c>
      <c r="F422" s="5"/>
      <c r="G422" s="5" t="s">
        <v>144</v>
      </c>
      <c r="H422" s="5" t="s">
        <v>157</v>
      </c>
      <c r="I422" s="5" t="s">
        <v>42</v>
      </c>
      <c r="J422" s="6" t="n">
        <v>0.67</v>
      </c>
      <c r="K422" s="5" t="s">
        <v>426</v>
      </c>
      <c r="L422" s="5" t="n">
        <f aca="false">IF($K422="",0,LEN($K422)-LEN(SUBSTITUTE($K422,",",""))+1)</f>
        <v>1</v>
      </c>
      <c r="M422" s="5" t="s">
        <v>44</v>
      </c>
      <c r="N422" s="5" t="str">
        <f aca="false">TRIM($A422&amp;" "&amp;IF($C422="",$R422,$C422&amp;" "&amp;$D422&amp;" "&amp;$E422&amp;" "&amp;$F422))</f>
        <v>Spec's #055 Cypress Rosehill</v>
      </c>
      <c r="O422" s="5" t="str">
        <f aca="false">IF($P422&lt;&gt;"","Exclude",IF(AND($M422&lt;&gt;"Full address",$R422=""),"Needs address",IF($J422&lt;0.5,"Hold - low volume",IF(LEFT($W422,3)="Low","Verify address",IF($G422="Needs review","Needs premise review",IF($X422="Estimated","Ready - address estimated","Ready"))))))</f>
        <v>Needs address</v>
      </c>
      <c r="P422" s="5"/>
      <c r="Q422" s="5" t="s">
        <v>45</v>
      </c>
      <c r="R422" s="5"/>
      <c r="S422" s="5"/>
      <c r="T422" s="7"/>
      <c r="U422" s="7"/>
      <c r="V422" s="5"/>
      <c r="W422" s="5"/>
      <c r="X422" s="5" t="s">
        <v>3</v>
      </c>
      <c r="Y422" s="8" t="str">
        <f aca="false">IF($C422&lt;&gt;"",TRIM($C422&amp;", "&amp;$D422&amp;", "&amp;$E422&amp;" "&amp;$F422),IF($R422&lt;&gt;"",$R422,IF($D422&lt;&gt;"",$D422&amp;", "&amp;$E422,$I422)))</f>
        <v>Cypress, TX</v>
      </c>
    </row>
    <row r="423" customFormat="false" ht="15" hidden="false" customHeight="true" outlineLevel="0" collapsed="false">
      <c r="A423" s="5" t="s">
        <v>1396</v>
      </c>
      <c r="B423" s="5" t="s">
        <v>1396</v>
      </c>
      <c r="C423" s="5"/>
      <c r="D423" s="5" t="s">
        <v>855</v>
      </c>
      <c r="E423" s="5" t="s">
        <v>40</v>
      </c>
      <c r="F423" s="5"/>
      <c r="G423" s="5" t="s">
        <v>144</v>
      </c>
      <c r="H423" s="5" t="s">
        <v>157</v>
      </c>
      <c r="I423" s="5" t="s">
        <v>42</v>
      </c>
      <c r="J423" s="6" t="n">
        <v>0.67</v>
      </c>
      <c r="K423" s="5" t="s">
        <v>426</v>
      </c>
      <c r="L423" s="5" t="n">
        <f aca="false">IF($K423="",0,LEN($K423)-LEN(SUBSTITUTE($K423,",",""))+1)</f>
        <v>1</v>
      </c>
      <c r="M423" s="5" t="s">
        <v>44</v>
      </c>
      <c r="N423" s="5" t="str">
        <f aca="false">TRIM($A423&amp;" "&amp;IF($C423="",$R423,$C423&amp;" "&amp;$D423&amp;" "&amp;$E423&amp;" "&amp;$F423))</f>
        <v>Spec's #059 Westcott and Memorial</v>
      </c>
      <c r="O423" s="5" t="str">
        <f aca="false">IF($P423&lt;&gt;"","Exclude",IF(AND($M423&lt;&gt;"Full address",$R423=""),"Needs address",IF($J423&lt;0.5,"Hold - low volume",IF(LEFT($W423,3)="Low","Verify address",IF($G423="Needs review","Needs premise review",IF($X423="Estimated","Ready - address estimated","Ready"))))))</f>
        <v>Needs address</v>
      </c>
      <c r="P423" s="5"/>
      <c r="Q423" s="5" t="s">
        <v>45</v>
      </c>
      <c r="R423" s="5"/>
      <c r="S423" s="5"/>
      <c r="T423" s="7"/>
      <c r="U423" s="7"/>
      <c r="V423" s="5"/>
      <c r="W423" s="5"/>
      <c r="X423" s="5" t="s">
        <v>3</v>
      </c>
      <c r="Y423" s="8" t="str">
        <f aca="false">IF($C423&lt;&gt;"",TRIM($C423&amp;", "&amp;$D423&amp;", "&amp;$E423&amp;" "&amp;$F423),IF($R423&lt;&gt;"",$R423,IF($D423&lt;&gt;"",$D423&amp;", "&amp;$E423,$I423)))</f>
        <v>Houston, TX</v>
      </c>
    </row>
    <row r="424" customFormat="false" ht="15" hidden="false" customHeight="true" outlineLevel="0" collapsed="false">
      <c r="A424" s="5" t="s">
        <v>1397</v>
      </c>
      <c r="B424" s="5" t="s">
        <v>1397</v>
      </c>
      <c r="C424" s="5"/>
      <c r="D424" s="5" t="s">
        <v>885</v>
      </c>
      <c r="E424" s="5" t="s">
        <v>40</v>
      </c>
      <c r="F424" s="5"/>
      <c r="G424" s="5" t="s">
        <v>144</v>
      </c>
      <c r="H424" s="5" t="s">
        <v>157</v>
      </c>
      <c r="I424" s="5" t="s">
        <v>42</v>
      </c>
      <c r="J424" s="6" t="n">
        <v>0.67</v>
      </c>
      <c r="K424" s="5" t="s">
        <v>426</v>
      </c>
      <c r="L424" s="5" t="n">
        <f aca="false">IF($K424="",0,LEN($K424)-LEN(SUBSTITUTE($K424,",",""))+1)</f>
        <v>1</v>
      </c>
      <c r="M424" s="5" t="s">
        <v>44</v>
      </c>
      <c r="N424" s="5" t="str">
        <f aca="false">TRIM($A424&amp;" "&amp;IF($C424="",$R424,$C424&amp;" "&amp;$D424&amp;" "&amp;$E424&amp;" "&amp;$F424))</f>
        <v>Spec's #139 Katy Mills</v>
      </c>
      <c r="O424" s="5" t="str">
        <f aca="false">IF($P424&lt;&gt;"","Exclude",IF(AND($M424&lt;&gt;"Full address",$R424=""),"Needs address",IF($J424&lt;0.5,"Hold - low volume",IF(LEFT($W424,3)="Low","Verify address",IF($G424="Needs review","Needs premise review",IF($X424="Estimated","Ready - address estimated","Ready"))))))</f>
        <v>Needs address</v>
      </c>
      <c r="P424" s="5"/>
      <c r="Q424" s="5" t="s">
        <v>45</v>
      </c>
      <c r="R424" s="5"/>
      <c r="S424" s="5"/>
      <c r="T424" s="7"/>
      <c r="U424" s="7"/>
      <c r="V424" s="5"/>
      <c r="W424" s="5"/>
      <c r="X424" s="5" t="s">
        <v>3</v>
      </c>
      <c r="Y424" s="8" t="str">
        <f aca="false">IF($C424&lt;&gt;"",TRIM($C424&amp;", "&amp;$D424&amp;", "&amp;$E424&amp;" "&amp;$F424),IF($R424&lt;&gt;"",$R424,IF($D424&lt;&gt;"",$D424&amp;", "&amp;$E424,$I424)))</f>
        <v>Katy, TX</v>
      </c>
    </row>
    <row r="425" customFormat="false" ht="15" hidden="false" customHeight="true" outlineLevel="0" collapsed="false">
      <c r="A425" s="5" t="s">
        <v>1398</v>
      </c>
      <c r="B425" s="5" t="s">
        <v>1398</v>
      </c>
      <c r="C425" s="5"/>
      <c r="D425" s="5" t="s">
        <v>359</v>
      </c>
      <c r="E425" s="5" t="s">
        <v>40</v>
      </c>
      <c r="F425" s="5"/>
      <c r="G425" s="5" t="s">
        <v>144</v>
      </c>
      <c r="H425" s="5" t="s">
        <v>360</v>
      </c>
      <c r="I425" s="5" t="s">
        <v>42</v>
      </c>
      <c r="J425" s="6" t="n">
        <v>0.67</v>
      </c>
      <c r="K425" s="5" t="s">
        <v>63</v>
      </c>
      <c r="L425" s="5" t="n">
        <f aca="false">IF($K425="",0,LEN($K425)-LEN(SUBSTITUTE($K425,",",""))+1)</f>
        <v>2</v>
      </c>
      <c r="M425" s="5" t="s">
        <v>44</v>
      </c>
      <c r="N425" s="5" t="str">
        <f aca="false">TRIM($A425&amp;" "&amp;IF($C425="",$R425,$C425&amp;" "&amp;$D425&amp;" "&amp;$E425&amp;" "&amp;$F425))</f>
        <v>Spec's #169 Stone Oak</v>
      </c>
      <c r="O425" s="5" t="str">
        <f aca="false">IF($P425&lt;&gt;"","Exclude",IF(AND($M425&lt;&gt;"Full address",$R425=""),"Needs address",IF($J425&lt;0.5,"Hold - low volume",IF(LEFT($W425,3)="Low","Verify address",IF($G425="Needs review","Needs premise review",IF($X425="Estimated","Ready - address estimated","Ready"))))))</f>
        <v>Needs address</v>
      </c>
      <c r="P425" s="5"/>
      <c r="Q425" s="5" t="s">
        <v>45</v>
      </c>
      <c r="R425" s="5"/>
      <c r="S425" s="5"/>
      <c r="T425" s="7"/>
      <c r="U425" s="7"/>
      <c r="V425" s="5"/>
      <c r="W425" s="5"/>
      <c r="X425" s="5" t="s">
        <v>3</v>
      </c>
      <c r="Y425" s="8" t="str">
        <f aca="false">IF($C425&lt;&gt;"",TRIM($C425&amp;", "&amp;$D425&amp;", "&amp;$E425&amp;" "&amp;$F425),IF($R425&lt;&gt;"",$R425,IF($D425&lt;&gt;"",$D425&amp;", "&amp;$E425,$I425)))</f>
        <v>San Antonio, TX</v>
      </c>
    </row>
    <row r="426" customFormat="false" ht="15" hidden="false" customHeight="true" outlineLevel="0" collapsed="false">
      <c r="A426" s="5" t="s">
        <v>1399</v>
      </c>
      <c r="B426" s="5" t="s">
        <v>1400</v>
      </c>
      <c r="C426" s="5" t="s">
        <v>1401</v>
      </c>
      <c r="D426" s="5" t="s">
        <v>1402</v>
      </c>
      <c r="E426" s="5" t="s">
        <v>29</v>
      </c>
      <c r="F426" s="5" t="s">
        <v>1403</v>
      </c>
      <c r="G426" s="5" t="s">
        <v>31</v>
      </c>
      <c r="H426" s="5" t="s">
        <v>437</v>
      </c>
      <c r="I426" s="5" t="s">
        <v>33</v>
      </c>
      <c r="J426" s="6" t="n">
        <v>0.66</v>
      </c>
      <c r="K426" s="5" t="s">
        <v>63</v>
      </c>
      <c r="L426" s="5" t="n">
        <f aca="false">IF($K426="",0,LEN($K426)-LEN(SUBSTITUTE($K426,",",""))+1)</f>
        <v>2</v>
      </c>
      <c r="M426" s="5" t="s">
        <v>35</v>
      </c>
      <c r="N426" s="5" t="str">
        <f aca="false">TRIM($A426&amp;" "&amp;IF($C426="",$R426,$C426&amp;" "&amp;$D426&amp;" "&amp;$E426&amp;" "&amp;$F426))</f>
        <v>Buzzway Liquors #29615 22963 US HIGHWAY 80 E BLDG A Statesboro GA 30461</v>
      </c>
      <c r="O426" s="5" t="str">
        <f aca="false">IF($P426&lt;&gt;"","Exclude",IF(AND($M426&lt;&gt;"Full address",$R426=""),"Needs address",IF($J426&lt;0.5,"Hold - low volume",IF(LEFT($W426,3)="Low","Verify address",IF($G426="Needs review","Needs premise review",IF($X426="Estimated","Ready - address estimated","Ready"))))))</f>
        <v>Ready</v>
      </c>
      <c r="P426" s="5"/>
      <c r="Q426" s="5" t="s">
        <v>36</v>
      </c>
      <c r="R426" s="5"/>
      <c r="S426" s="5"/>
      <c r="T426" s="7"/>
      <c r="U426" s="7"/>
      <c r="V426" s="5"/>
      <c r="W426" s="5"/>
      <c r="X426" s="5" t="s">
        <v>37</v>
      </c>
      <c r="Y426" s="8" t="str">
        <f aca="false">IF($C426&lt;&gt;"",TRIM($C426&amp;", "&amp;$D426&amp;", "&amp;$E426&amp;" "&amp;$F426),IF($R426&lt;&gt;"",$R426,IF($D426&lt;&gt;"",$D426&amp;", "&amp;$E426,$I426)))</f>
        <v>22963 US HIGHWAY 80 E BLDG A, Statesboro, GA 30461</v>
      </c>
    </row>
    <row r="427" customFormat="false" ht="15" hidden="false" customHeight="true" outlineLevel="0" collapsed="false">
      <c r="A427" s="5" t="s">
        <v>1404</v>
      </c>
      <c r="B427" s="5" t="s">
        <v>1405</v>
      </c>
      <c r="C427" s="5" t="s">
        <v>1406</v>
      </c>
      <c r="D427" s="5" t="s">
        <v>1407</v>
      </c>
      <c r="E427" s="5" t="s">
        <v>484</v>
      </c>
      <c r="F427" s="5" t="s">
        <v>1408</v>
      </c>
      <c r="G427" s="5" t="s">
        <v>31</v>
      </c>
      <c r="H427" s="5" t="s">
        <v>486</v>
      </c>
      <c r="I427" s="5" t="s">
        <v>487</v>
      </c>
      <c r="J427" s="6" t="n">
        <v>0.66</v>
      </c>
      <c r="K427" s="5" t="s">
        <v>63</v>
      </c>
      <c r="L427" s="5" t="n">
        <f aca="false">IF($K427="",0,LEN($K427)-LEN(SUBSTITUTE($K427,",",""))+1)</f>
        <v>2</v>
      </c>
      <c r="M427" s="5" t="s">
        <v>35</v>
      </c>
      <c r="N427" s="5" t="str">
        <f aca="false">TRIM($A427&amp;" "&amp;IF($C427="",$R427,$C427&amp;" "&amp;$D427&amp;" "&amp;$E427&amp;" "&amp;$F427))</f>
        <v>On The Bricks Liquor 1106 Washington St Ellis KS 67637</v>
      </c>
      <c r="O427" s="5" t="str">
        <f aca="false">IF($P427&lt;&gt;"","Exclude",IF(AND($M427&lt;&gt;"Full address",$R427=""),"Needs address",IF($J427&lt;0.5,"Hold - low volume",IF(LEFT($W427,3)="Low","Verify address",IF($G427="Needs review","Needs premise review",IF($X427="Estimated","Ready - address estimated","Ready"))))))</f>
        <v>Ready</v>
      </c>
      <c r="P427" s="5"/>
      <c r="Q427" s="5" t="s">
        <v>488</v>
      </c>
      <c r="R427" s="5"/>
      <c r="S427" s="5"/>
      <c r="T427" s="7"/>
      <c r="U427" s="7"/>
      <c r="V427" s="5"/>
      <c r="W427" s="5"/>
      <c r="X427" s="5" t="s">
        <v>37</v>
      </c>
      <c r="Y427" s="8" t="str">
        <f aca="false">IF($C427&lt;&gt;"",TRIM($C427&amp;", "&amp;$D427&amp;", "&amp;$E427&amp;" "&amp;$F427),IF($R427&lt;&gt;"",$R427,IF($D427&lt;&gt;"",$D427&amp;", "&amp;$E427,$I427)))</f>
        <v>1106 Washington St, Ellis, KS 67637</v>
      </c>
    </row>
    <row r="428" customFormat="false" ht="15" hidden="false" customHeight="true" outlineLevel="0" collapsed="false">
      <c r="A428" s="5" t="s">
        <v>1409</v>
      </c>
      <c r="B428" s="5" t="s">
        <v>1409</v>
      </c>
      <c r="C428" s="5"/>
      <c r="D428" s="5" t="s">
        <v>1236</v>
      </c>
      <c r="E428" s="5" t="s">
        <v>40</v>
      </c>
      <c r="F428" s="5"/>
      <c r="G428" s="5" t="s">
        <v>31</v>
      </c>
      <c r="H428" s="5" t="s">
        <v>41</v>
      </c>
      <c r="I428" s="5" t="s">
        <v>42</v>
      </c>
      <c r="J428" s="6" t="n">
        <v>0.66</v>
      </c>
      <c r="K428" s="5" t="s">
        <v>63</v>
      </c>
      <c r="L428" s="5" t="n">
        <f aca="false">IF($K428="",0,LEN($K428)-LEN(SUBSTITUTE($K428,",",""))+1)</f>
        <v>2</v>
      </c>
      <c r="M428" s="5" t="s">
        <v>44</v>
      </c>
      <c r="N428" s="5" t="str">
        <f aca="false">TRIM($A428&amp;" "&amp;IF($C428="",$R428,$C428&amp;" "&amp;$D428&amp;" "&amp;$E428&amp;" "&amp;$F428))</f>
        <v>Liquor King #3 Lewisville</v>
      </c>
      <c r="O428" s="5" t="str">
        <f aca="false">IF($P428&lt;&gt;"","Exclude",IF(AND($M428&lt;&gt;"Full address",$R428=""),"Needs address",IF($J428&lt;0.5,"Hold - low volume",IF(LEFT($W428,3)="Low","Verify address",IF($G428="Needs review","Needs premise review",IF($X428="Estimated","Ready - address estimated","Ready"))))))</f>
        <v>Needs address</v>
      </c>
      <c r="P428" s="5"/>
      <c r="Q428" s="5" t="s">
        <v>45</v>
      </c>
      <c r="R428" s="5"/>
      <c r="S428" s="5"/>
      <c r="T428" s="7"/>
      <c r="U428" s="7"/>
      <c r="V428" s="5"/>
      <c r="W428" s="5"/>
      <c r="X428" s="5" t="s">
        <v>3</v>
      </c>
      <c r="Y428" s="8" t="str">
        <f aca="false">IF($C428&lt;&gt;"",TRIM($C428&amp;", "&amp;$D428&amp;", "&amp;$E428&amp;" "&amp;$F428),IF($R428&lt;&gt;"",$R428,IF($D428&lt;&gt;"",$D428&amp;", "&amp;$E428,$I428)))</f>
        <v>Lewisville, TX</v>
      </c>
    </row>
    <row r="429" customFormat="false" ht="15" hidden="false" customHeight="true" outlineLevel="0" collapsed="false">
      <c r="A429" s="5" t="s">
        <v>1410</v>
      </c>
      <c r="B429" s="5" t="s">
        <v>1410</v>
      </c>
      <c r="C429" s="5"/>
      <c r="D429" s="5"/>
      <c r="E429" s="5" t="s">
        <v>913</v>
      </c>
      <c r="F429" s="5"/>
      <c r="G429" s="5" t="s">
        <v>31</v>
      </c>
      <c r="H429" s="5" t="s">
        <v>914</v>
      </c>
      <c r="I429" s="5" t="s">
        <v>915</v>
      </c>
      <c r="J429" s="6" t="n">
        <v>0.5833</v>
      </c>
      <c r="K429" s="5" t="s">
        <v>63</v>
      </c>
      <c r="L429" s="5" t="n">
        <f aca="false">IF($K429="",0,LEN($K429)-LEN(SUBSTITUTE($K429,",",""))+1)</f>
        <v>2</v>
      </c>
      <c r="M429" s="5" t="s">
        <v>916</v>
      </c>
      <c r="N429" s="5" t="str">
        <f aca="false">TRIM($A429&amp;" "&amp;IF($C429="",$R429,$C429&amp;" "&amp;$D429&amp;" "&amp;$E429&amp;" "&amp;$F429))</f>
        <v>Highway 51 Liquor &amp; Bait</v>
      </c>
      <c r="O429" s="5" t="str">
        <f aca="false">IF($P429&lt;&gt;"","Exclude",IF(AND($M429&lt;&gt;"Full address",$R429=""),"Needs address",IF($J429&lt;0.5,"Hold - low volume",IF(LEFT($W429,3)="Low","Verify address",IF($G429="Needs review","Needs premise review",IF($X429="Estimated","Ready - address estimated","Ready"))))))</f>
        <v>Needs address</v>
      </c>
      <c r="P429" s="5"/>
      <c r="Q429" s="5" t="s">
        <v>917</v>
      </c>
      <c r="R429" s="5"/>
      <c r="S429" s="5"/>
      <c r="T429" s="7"/>
      <c r="U429" s="7"/>
      <c r="V429" s="5"/>
      <c r="W429" s="5"/>
      <c r="X429" s="5" t="s">
        <v>8</v>
      </c>
      <c r="Y429" s="8" t="str">
        <f aca="false">IF($C429&lt;&gt;"",TRIM($C429&amp;", "&amp;$D429&amp;", "&amp;$E429&amp;" "&amp;$F429),IF($R429&lt;&gt;"",$R429,IF($D429&lt;&gt;"",$D429&amp;", "&amp;$E429,$I429)))</f>
        <v>Wisconsin</v>
      </c>
    </row>
    <row r="430" customFormat="false" ht="15" hidden="false" customHeight="true" outlineLevel="0" collapsed="false">
      <c r="A430" s="5" t="s">
        <v>1411</v>
      </c>
      <c r="B430" s="5" t="s">
        <v>1411</v>
      </c>
      <c r="C430" s="5"/>
      <c r="D430" s="5"/>
      <c r="E430" s="5" t="s">
        <v>913</v>
      </c>
      <c r="F430" s="5"/>
      <c r="G430" s="5" t="s">
        <v>31</v>
      </c>
      <c r="H430" s="5" t="s">
        <v>914</v>
      </c>
      <c r="I430" s="5" t="s">
        <v>915</v>
      </c>
      <c r="J430" s="6" t="n">
        <v>0.5833</v>
      </c>
      <c r="K430" s="5" t="s">
        <v>76</v>
      </c>
      <c r="L430" s="5" t="n">
        <f aca="false">IF($K430="",0,LEN($K430)-LEN(SUBSTITUTE($K430,",",""))+1)</f>
        <v>1</v>
      </c>
      <c r="M430" s="5" t="s">
        <v>916</v>
      </c>
      <c r="N430" s="5" t="str">
        <f aca="false">TRIM($A430&amp;" "&amp;IF($C430="",$R430,$C430&amp;" "&amp;$D430&amp;" "&amp;$E430&amp;" "&amp;$F430))</f>
        <v>Jeff's Spirits on Main</v>
      </c>
      <c r="O430" s="5" t="str">
        <f aca="false">IF($P430&lt;&gt;"","Exclude",IF(AND($M430&lt;&gt;"Full address",$R430=""),"Needs address",IF($J430&lt;0.5,"Hold - low volume",IF(LEFT($W430,3)="Low","Verify address",IF($G430="Needs review","Needs premise review",IF($X430="Estimated","Ready - address estimated","Ready"))))))</f>
        <v>Needs address</v>
      </c>
      <c r="P430" s="5"/>
      <c r="Q430" s="5" t="s">
        <v>917</v>
      </c>
      <c r="R430" s="5"/>
      <c r="S430" s="5"/>
      <c r="T430" s="7"/>
      <c r="U430" s="7"/>
      <c r="V430" s="5"/>
      <c r="W430" s="5"/>
      <c r="X430" s="5" t="s">
        <v>8</v>
      </c>
      <c r="Y430" s="8" t="str">
        <f aca="false">IF($C430&lt;&gt;"",TRIM($C430&amp;", "&amp;$D430&amp;", "&amp;$E430&amp;" "&amp;$F430),IF($R430&lt;&gt;"",$R430,IF($D430&lt;&gt;"",$D430&amp;", "&amp;$E430,$I430)))</f>
        <v>Wisconsin</v>
      </c>
    </row>
    <row r="431" customFormat="false" ht="15" hidden="false" customHeight="true" outlineLevel="0" collapsed="false">
      <c r="A431" s="5" t="s">
        <v>1412</v>
      </c>
      <c r="B431" s="5" t="s">
        <v>1412</v>
      </c>
      <c r="C431" s="5"/>
      <c r="D431" s="5"/>
      <c r="E431" s="5" t="s">
        <v>913</v>
      </c>
      <c r="F431" s="5"/>
      <c r="G431" s="5" t="s">
        <v>31</v>
      </c>
      <c r="H431" s="5" t="s">
        <v>914</v>
      </c>
      <c r="I431" s="5" t="s">
        <v>915</v>
      </c>
      <c r="J431" s="6" t="n">
        <v>0.5833</v>
      </c>
      <c r="K431" s="5" t="s">
        <v>76</v>
      </c>
      <c r="L431" s="5" t="n">
        <f aca="false">IF($K431="",0,LEN($K431)-LEN(SUBSTITUTE($K431,",",""))+1)</f>
        <v>1</v>
      </c>
      <c r="M431" s="5" t="s">
        <v>916</v>
      </c>
      <c r="N431" s="5" t="str">
        <f aca="false">TRIM($A431&amp;" "&amp;IF($C431="",$R431,$C431&amp;" "&amp;$D431&amp;" "&amp;$E431&amp;" "&amp;$F431))</f>
        <v>Timer's Beverage Center</v>
      </c>
      <c r="O431" s="5" t="str">
        <f aca="false">IF($P431&lt;&gt;"","Exclude",IF(AND($M431&lt;&gt;"Full address",$R431=""),"Needs address",IF($J431&lt;0.5,"Hold - low volume",IF(LEFT($W431,3)="Low","Verify address",IF($G431="Needs review","Needs premise review",IF($X431="Estimated","Ready - address estimated","Ready"))))))</f>
        <v>Needs address</v>
      </c>
      <c r="P431" s="5"/>
      <c r="Q431" s="5" t="s">
        <v>917</v>
      </c>
      <c r="R431" s="5"/>
      <c r="S431" s="5"/>
      <c r="T431" s="7"/>
      <c r="U431" s="7"/>
      <c r="V431" s="5"/>
      <c r="W431" s="5"/>
      <c r="X431" s="5" t="s">
        <v>8</v>
      </c>
      <c r="Y431" s="8" t="str">
        <f aca="false">IF($C431&lt;&gt;"",TRIM($C431&amp;", "&amp;$D431&amp;", "&amp;$E431&amp;" "&amp;$F431),IF($R431&lt;&gt;"",$R431,IF($D431&lt;&gt;"",$D431&amp;", "&amp;$E431,$I431)))</f>
        <v>Wisconsin</v>
      </c>
    </row>
    <row r="432" customFormat="false" ht="15" hidden="false" customHeight="true" outlineLevel="0" collapsed="false">
      <c r="A432" s="5" t="s">
        <v>1413</v>
      </c>
      <c r="B432" s="5" t="s">
        <v>1413</v>
      </c>
      <c r="C432" s="5"/>
      <c r="D432" s="5" t="s">
        <v>1350</v>
      </c>
      <c r="E432" s="5" t="s">
        <v>40</v>
      </c>
      <c r="F432" s="5"/>
      <c r="G432" s="5" t="s">
        <v>144</v>
      </c>
      <c r="H432" s="5" t="s">
        <v>360</v>
      </c>
      <c r="I432" s="5" t="s">
        <v>42</v>
      </c>
      <c r="J432" s="6" t="n">
        <v>0.51</v>
      </c>
      <c r="K432" s="5" t="s">
        <v>34</v>
      </c>
      <c r="L432" s="5" t="n">
        <f aca="false">IF($K432="",0,LEN($K432)-LEN(SUBSTITUTE($K432,",",""))+1)</f>
        <v>3</v>
      </c>
      <c r="M432" s="5" t="s">
        <v>44</v>
      </c>
      <c r="N432" s="5" t="str">
        <f aca="false">TRIM($A432&amp;" "&amp;IF($C432="",$R432,$C432&amp;" "&amp;$D432&amp;" "&amp;$E432&amp;" "&amp;$F432))</f>
        <v>Spec's #068 South Padre Island Drive</v>
      </c>
      <c r="O432" s="5" t="str">
        <f aca="false">IF($P432&lt;&gt;"","Exclude",IF(AND($M432&lt;&gt;"Full address",$R432=""),"Needs address",IF($J432&lt;0.5,"Hold - low volume",IF(LEFT($W432,3)="Low","Verify address",IF($G432="Needs review","Needs premise review",IF($X432="Estimated","Ready - address estimated","Ready"))))))</f>
        <v>Needs address</v>
      </c>
      <c r="P432" s="5"/>
      <c r="Q432" s="5" t="s">
        <v>45</v>
      </c>
      <c r="R432" s="5"/>
      <c r="S432" s="5"/>
      <c r="T432" s="7"/>
      <c r="U432" s="7"/>
      <c r="V432" s="5"/>
      <c r="W432" s="5"/>
      <c r="X432" s="5" t="s">
        <v>3</v>
      </c>
      <c r="Y432" s="8" t="str">
        <f aca="false">IF($C432&lt;&gt;"",TRIM($C432&amp;", "&amp;$D432&amp;", "&amp;$E432&amp;" "&amp;$F432),IF($R432&lt;&gt;"",$R432,IF($D432&lt;&gt;"",$D432&amp;", "&amp;$E432,$I432)))</f>
        <v>Corpus Christi, TX</v>
      </c>
    </row>
    <row r="433" customFormat="false" ht="15" hidden="false" customHeight="true" outlineLevel="0" collapsed="false">
      <c r="A433" s="5" t="s">
        <v>1414</v>
      </c>
      <c r="B433" s="5" t="s">
        <v>1415</v>
      </c>
      <c r="C433" s="5" t="s">
        <v>1416</v>
      </c>
      <c r="D433" s="5" t="s">
        <v>409</v>
      </c>
      <c r="E433" s="5" t="s">
        <v>59</v>
      </c>
      <c r="F433" s="5" t="s">
        <v>1417</v>
      </c>
      <c r="G433" s="5" t="s">
        <v>377</v>
      </c>
      <c r="H433" s="5" t="s">
        <v>61</v>
      </c>
      <c r="I433" s="5" t="s">
        <v>62</v>
      </c>
      <c r="J433" s="6" t="n">
        <v>0.5</v>
      </c>
      <c r="K433" s="5" t="s">
        <v>395</v>
      </c>
      <c r="L433" s="5" t="n">
        <f aca="false">IF($K433="",0,LEN($K433)-LEN(SUBSTITUTE($K433,",",""))+1)</f>
        <v>2</v>
      </c>
      <c r="M433" s="5" t="s">
        <v>35</v>
      </c>
      <c r="N433" s="5" t="str">
        <f aca="false">TRIM($A433&amp;" "&amp;IF($C433="",$R433,$C433&amp;" "&amp;$D433&amp;" "&amp;$E433&amp;" "&amp;$F433))</f>
        <v>Don Panchon Mexican Restaurant 4650 Tower Rd Denver CO 80249</v>
      </c>
      <c r="O433" s="5" t="str">
        <f aca="false">IF($P433&lt;&gt;"","Exclude",IF(AND($M433&lt;&gt;"Full address",$R433=""),"Needs address",IF($J433&lt;0.5,"Hold - low volume",IF(LEFT($W433,3)="Low","Verify address",IF($G433="Needs review","Needs premise review",IF($X433="Estimated","Ready - address estimated","Ready"))))))</f>
        <v>Ready</v>
      </c>
      <c r="P433" s="5"/>
      <c r="Q433" s="5" t="s">
        <v>64</v>
      </c>
      <c r="R433" s="5"/>
      <c r="S433" s="5"/>
      <c r="T433" s="7"/>
      <c r="U433" s="7"/>
      <c r="V433" s="5"/>
      <c r="W433" s="5"/>
      <c r="X433" s="5" t="s">
        <v>37</v>
      </c>
      <c r="Y433" s="8" t="str">
        <f aca="false">IF($C433&lt;&gt;"",TRIM($C433&amp;", "&amp;$D433&amp;", "&amp;$E433&amp;" "&amp;$F433),IF($R433&lt;&gt;"",$R433,IF($D433&lt;&gt;"",$D433&amp;", "&amp;$E433,$I433)))</f>
        <v>4650 Tower Rd, Denver, CO 80249</v>
      </c>
    </row>
    <row r="434" customFormat="false" ht="15" hidden="false" customHeight="true" outlineLevel="0" collapsed="false">
      <c r="A434" s="5" t="s">
        <v>1418</v>
      </c>
      <c r="B434" s="5" t="s">
        <v>1419</v>
      </c>
      <c r="C434" s="5" t="s">
        <v>1420</v>
      </c>
      <c r="D434" s="5" t="s">
        <v>1421</v>
      </c>
      <c r="E434" s="5" t="s">
        <v>484</v>
      </c>
      <c r="F434" s="5" t="s">
        <v>1422</v>
      </c>
      <c r="G434" s="5" t="s">
        <v>31</v>
      </c>
      <c r="H434" s="5" t="s">
        <v>486</v>
      </c>
      <c r="I434" s="5" t="s">
        <v>487</v>
      </c>
      <c r="J434" s="6" t="n">
        <v>0.5</v>
      </c>
      <c r="K434" s="5" t="s">
        <v>395</v>
      </c>
      <c r="L434" s="5" t="n">
        <f aca="false">IF($K434="",0,LEN($K434)-LEN(SUBSTITUTE($K434,",",""))+1)</f>
        <v>2</v>
      </c>
      <c r="M434" s="5" t="s">
        <v>35</v>
      </c>
      <c r="N434" s="5" t="str">
        <f aca="false">TRIM($A434&amp;" "&amp;IF($C434="",$R434,$C434&amp;" "&amp;$D434&amp;" "&amp;$E434&amp;" "&amp;$F434))</f>
        <v>DJ Liquor #01 3002 N Plum St Hutchinson KS 67502</v>
      </c>
      <c r="O434" s="5" t="str">
        <f aca="false">IF($P434&lt;&gt;"","Exclude",IF(AND($M434&lt;&gt;"Full address",$R434=""),"Needs address",IF($J434&lt;0.5,"Hold - low volume",IF(LEFT($W434,3)="Low","Verify address",IF($G434="Needs review","Needs premise review",IF($X434="Estimated","Ready - address estimated","Ready"))))))</f>
        <v>Ready</v>
      </c>
      <c r="P434" s="5"/>
      <c r="Q434" s="5" t="s">
        <v>488</v>
      </c>
      <c r="R434" s="5"/>
      <c r="S434" s="5"/>
      <c r="T434" s="7"/>
      <c r="U434" s="7"/>
      <c r="V434" s="5"/>
      <c r="W434" s="5"/>
      <c r="X434" s="5" t="s">
        <v>37</v>
      </c>
      <c r="Y434" s="8" t="str">
        <f aca="false">IF($C434&lt;&gt;"",TRIM($C434&amp;", "&amp;$D434&amp;", "&amp;$E434&amp;" "&amp;$F434),IF($R434&lt;&gt;"",$R434,IF($D434&lt;&gt;"",$D434&amp;", "&amp;$E434,$I434)))</f>
        <v>3002 N Plum St, Hutchinson, KS 67502</v>
      </c>
    </row>
    <row r="435" customFormat="false" ht="15" hidden="false" customHeight="true" outlineLevel="0" collapsed="false">
      <c r="A435" s="5" t="s">
        <v>1423</v>
      </c>
      <c r="B435" s="5" t="s">
        <v>1423</v>
      </c>
      <c r="C435" s="5" t="s">
        <v>1424</v>
      </c>
      <c r="D435" s="5" t="s">
        <v>1156</v>
      </c>
      <c r="E435" s="5" t="s">
        <v>484</v>
      </c>
      <c r="F435" s="5" t="s">
        <v>1425</v>
      </c>
      <c r="G435" s="5" t="s">
        <v>31</v>
      </c>
      <c r="H435" s="5" t="s">
        <v>486</v>
      </c>
      <c r="I435" s="5" t="s">
        <v>487</v>
      </c>
      <c r="J435" s="6" t="n">
        <v>0.5</v>
      </c>
      <c r="K435" s="5" t="s">
        <v>426</v>
      </c>
      <c r="L435" s="5" t="n">
        <f aca="false">IF($K435="",0,LEN($K435)-LEN(SUBSTITUTE($K435,",",""))+1)</f>
        <v>1</v>
      </c>
      <c r="M435" s="5" t="s">
        <v>35</v>
      </c>
      <c r="N435" s="5" t="str">
        <f aca="false">TRIM($A435&amp;" "&amp;IF($C435="",$R435,$C435&amp;" "&amp;$D435&amp;" "&amp;$E435&amp;" "&amp;$F435))</f>
        <v>Legends Liquors KCK 9801 Parallel Parkway Kansas City KS 66109</v>
      </c>
      <c r="O435" s="5" t="str">
        <f aca="false">IF($P435&lt;&gt;"","Exclude",IF(AND($M435&lt;&gt;"Full address",$R435=""),"Needs address",IF($J435&lt;0.5,"Hold - low volume",IF(LEFT($W435,3)="Low","Verify address",IF($G435="Needs review","Needs premise review",IF($X435="Estimated","Ready - address estimated","Ready"))))))</f>
        <v>Ready</v>
      </c>
      <c r="P435" s="5"/>
      <c r="Q435" s="5" t="s">
        <v>488</v>
      </c>
      <c r="R435" s="5"/>
      <c r="S435" s="5"/>
      <c r="T435" s="7"/>
      <c r="U435" s="7"/>
      <c r="V435" s="5"/>
      <c r="W435" s="5"/>
      <c r="X435" s="5" t="s">
        <v>37</v>
      </c>
      <c r="Y435" s="8" t="str">
        <f aca="false">IF($C435&lt;&gt;"",TRIM($C435&amp;", "&amp;$D435&amp;", "&amp;$E435&amp;" "&amp;$F435),IF($R435&lt;&gt;"",$R435,IF($D435&lt;&gt;"",$D435&amp;", "&amp;$E435,$I435)))</f>
        <v>9801 Parallel Parkway, Kansas City, KS 66109</v>
      </c>
    </row>
    <row r="436" customFormat="false" ht="15" hidden="false" customHeight="true" outlineLevel="0" collapsed="false">
      <c r="A436" s="5" t="s">
        <v>1426</v>
      </c>
      <c r="B436" s="5" t="s">
        <v>1427</v>
      </c>
      <c r="C436" s="5" t="s">
        <v>1428</v>
      </c>
      <c r="D436" s="5" t="s">
        <v>1156</v>
      </c>
      <c r="E436" s="5" t="s">
        <v>493</v>
      </c>
      <c r="F436" s="5" t="s">
        <v>1429</v>
      </c>
      <c r="G436" s="5" t="s">
        <v>144</v>
      </c>
      <c r="H436" s="5" t="s">
        <v>495</v>
      </c>
      <c r="I436" s="5" t="s">
        <v>496</v>
      </c>
      <c r="J436" s="6" t="n">
        <v>0.5</v>
      </c>
      <c r="K436" s="5" t="s">
        <v>426</v>
      </c>
      <c r="L436" s="5" t="n">
        <f aca="false">IF($K436="",0,LEN($K436)-LEN(SUBSTITUTE($K436,",",""))+1)</f>
        <v>1</v>
      </c>
      <c r="M436" s="5" t="s">
        <v>35</v>
      </c>
      <c r="N436" s="5" t="str">
        <f aca="false">TRIM($A436&amp;" "&amp;IF($C436="",$R436,$C436&amp;" "&amp;$D436&amp;" "&amp;$E436&amp;" "&amp;$F436))</f>
        <v>Gomer's Midtown BROADWAY Kansas City MO 64111</v>
      </c>
      <c r="O436" s="5" t="str">
        <f aca="false">IF($P436&lt;&gt;"","Exclude",IF(AND($M436&lt;&gt;"Full address",$R436=""),"Needs address",IF($J436&lt;0.5,"Hold - low volume",IF(LEFT($W436,3)="Low","Verify address",IF($G436="Needs review","Needs premise review",IF($X436="Estimated","Ready - address estimated","Ready"))))))</f>
        <v>Needs premise review</v>
      </c>
      <c r="P436" s="5"/>
      <c r="Q436" s="5" t="s">
        <v>498</v>
      </c>
      <c r="R436" s="5"/>
      <c r="S436" s="5"/>
      <c r="T436" s="7"/>
      <c r="U436" s="7"/>
      <c r="V436" s="5"/>
      <c r="W436" s="5"/>
      <c r="X436" s="5" t="s">
        <v>37</v>
      </c>
      <c r="Y436" s="8" t="str">
        <f aca="false">IF($C436&lt;&gt;"",TRIM($C436&amp;", "&amp;$D436&amp;", "&amp;$E436&amp;" "&amp;$F436),IF($R436&lt;&gt;"",$R436,IF($D436&lt;&gt;"",$D436&amp;", "&amp;$E436,$I436)))</f>
        <v>BROADWAY, Kansas City, MO 64111</v>
      </c>
    </row>
    <row r="437" customFormat="false" ht="15" hidden="false" customHeight="true" outlineLevel="0" collapsed="false">
      <c r="A437" s="5" t="s">
        <v>1430</v>
      </c>
      <c r="B437" s="5" t="s">
        <v>1430</v>
      </c>
      <c r="C437" s="5"/>
      <c r="D437" s="5" t="s">
        <v>354</v>
      </c>
      <c r="E437" s="5" t="s">
        <v>40</v>
      </c>
      <c r="F437" s="5"/>
      <c r="G437" s="5" t="s">
        <v>31</v>
      </c>
      <c r="H437" s="5" t="s">
        <v>41</v>
      </c>
      <c r="I437" s="5" t="s">
        <v>42</v>
      </c>
      <c r="J437" s="6" t="n">
        <v>0.5</v>
      </c>
      <c r="K437" s="5" t="s">
        <v>1163</v>
      </c>
      <c r="L437" s="5" t="n">
        <f aca="false">IF($K437="",0,LEN($K437)-LEN(SUBSTITUTE($K437,",",""))+1)</f>
        <v>1</v>
      </c>
      <c r="M437" s="5" t="s">
        <v>44</v>
      </c>
      <c r="N437" s="5" t="str">
        <f aca="false">TRIM($A437&amp;" "&amp;IF($C437="",$R437,$C437&amp;" "&amp;$D437&amp;" "&amp;$E437&amp;" "&amp;$F437))</f>
        <v>Liquor Depot (KMY) Irving (Belt Line)</v>
      </c>
      <c r="O437" s="5" t="str">
        <f aca="false">IF($P437&lt;&gt;"","Exclude",IF(AND($M437&lt;&gt;"Full address",$R437=""),"Needs address",IF($J437&lt;0.5,"Hold - low volume",IF(LEFT($W437,3)="Low","Verify address",IF($G437="Needs review","Needs premise review",IF($X437="Estimated","Ready - address estimated","Ready"))))))</f>
        <v>Needs address</v>
      </c>
      <c r="P437" s="5"/>
      <c r="Q437" s="5" t="s">
        <v>45</v>
      </c>
      <c r="R437" s="5"/>
      <c r="S437" s="5"/>
      <c r="T437" s="7"/>
      <c r="U437" s="7"/>
      <c r="V437" s="5"/>
      <c r="W437" s="5"/>
      <c r="X437" s="5" t="s">
        <v>3</v>
      </c>
      <c r="Y437" s="8" t="str">
        <f aca="false">IF($C437&lt;&gt;"",TRIM($C437&amp;", "&amp;$D437&amp;", "&amp;$E437&amp;" "&amp;$F437),IF($R437&lt;&gt;"",$R437,IF($D437&lt;&gt;"",$D437&amp;", "&amp;$E437,$I437)))</f>
        <v>Dallas, TX</v>
      </c>
    </row>
    <row r="438" customFormat="false" ht="15" hidden="false" customHeight="true" outlineLevel="0" collapsed="false">
      <c r="A438" s="5" t="s">
        <v>1431</v>
      </c>
      <c r="B438" s="5" t="s">
        <v>1431</v>
      </c>
      <c r="C438" s="5"/>
      <c r="D438" s="5" t="s">
        <v>52</v>
      </c>
      <c r="E438" s="5" t="s">
        <v>40</v>
      </c>
      <c r="F438" s="5"/>
      <c r="G438" s="5" t="s">
        <v>31</v>
      </c>
      <c r="H438" s="5" t="s">
        <v>41</v>
      </c>
      <c r="I438" s="5" t="s">
        <v>42</v>
      </c>
      <c r="J438" s="6" t="n">
        <v>0.5</v>
      </c>
      <c r="K438" s="5" t="s">
        <v>76</v>
      </c>
      <c r="L438" s="5" t="n">
        <f aca="false">IF($K438="",0,LEN($K438)-LEN(SUBSTITUTE($K438,",",""))+1)</f>
        <v>1</v>
      </c>
      <c r="M438" s="5" t="s">
        <v>44</v>
      </c>
      <c r="N438" s="5" t="str">
        <f aca="false">TRIM($A438&amp;" "&amp;IF($C438="",$R438,$C438&amp;" "&amp;$D438&amp;" "&amp;$E438&amp;" "&amp;$F438))</f>
        <v>Liquor King #10</v>
      </c>
      <c r="O438" s="5" t="str">
        <f aca="false">IF($P438&lt;&gt;"","Exclude",IF(AND($M438&lt;&gt;"Full address",$R438=""),"Needs address",IF($J438&lt;0.5,"Hold - low volume",IF(LEFT($W438,3)="Low","Verify address",IF($G438="Needs review","Needs premise review",IF($X438="Estimated","Ready - address estimated","Ready"))))))</f>
        <v>Needs address</v>
      </c>
      <c r="P438" s="5"/>
      <c r="Q438" s="5" t="s">
        <v>45</v>
      </c>
      <c r="R438" s="5"/>
      <c r="S438" s="5"/>
      <c r="T438" s="7"/>
      <c r="U438" s="7"/>
      <c r="V438" s="5"/>
      <c r="W438" s="5"/>
      <c r="X438" s="5" t="s">
        <v>3</v>
      </c>
      <c r="Y438" s="8" t="str">
        <f aca="false">IF($C438&lt;&gt;"",TRIM($C438&amp;", "&amp;$D438&amp;", "&amp;$E438&amp;" "&amp;$F438),IF($R438&lt;&gt;"",$R438,IF($D438&lt;&gt;"",$D438&amp;", "&amp;$E438,$I438)))</f>
        <v>Highland Village, TX</v>
      </c>
    </row>
    <row r="439" customFormat="false" ht="15" hidden="false" customHeight="true" outlineLevel="0" collapsed="false">
      <c r="A439" s="5" t="s">
        <v>1432</v>
      </c>
      <c r="B439" s="5" t="s">
        <v>1432</v>
      </c>
      <c r="C439" s="5"/>
      <c r="D439" s="5" t="s">
        <v>1433</v>
      </c>
      <c r="E439" s="5" t="s">
        <v>40</v>
      </c>
      <c r="F439" s="5"/>
      <c r="G439" s="5" t="s">
        <v>31</v>
      </c>
      <c r="H439" s="5" t="s">
        <v>157</v>
      </c>
      <c r="I439" s="5" t="s">
        <v>42</v>
      </c>
      <c r="J439" s="6" t="n">
        <v>0.5</v>
      </c>
      <c r="K439" s="5" t="s">
        <v>76</v>
      </c>
      <c r="L439" s="5" t="n">
        <f aca="false">IF($K439="",0,LEN($K439)-LEN(SUBSTITUTE($K439,",",""))+1)</f>
        <v>1</v>
      </c>
      <c r="M439" s="5" t="s">
        <v>44</v>
      </c>
      <c r="N439" s="5" t="str">
        <f aca="false">TRIM($A439&amp;" "&amp;IF($C439="",$R439,$C439&amp;" "&amp;$D439&amp;" "&amp;$E439&amp;" "&amp;$F439))</f>
        <v>RED'S DISCOUNT LIQUOR #5</v>
      </c>
      <c r="O439" s="5" t="str">
        <f aca="false">IF($P439&lt;&gt;"","Exclude",IF(AND($M439&lt;&gt;"Full address",$R439=""),"Needs address",IF($J439&lt;0.5,"Hold - low volume",IF(LEFT($W439,3)="Low","Verify address",IF($G439="Needs review","Needs premise review",IF($X439="Estimated","Ready - address estimated","Ready"))))))</f>
        <v>Needs address</v>
      </c>
      <c r="P439" s="5"/>
      <c r="Q439" s="5" t="s">
        <v>45</v>
      </c>
      <c r="R439" s="5"/>
      <c r="S439" s="5"/>
      <c r="T439" s="7"/>
      <c r="U439" s="7"/>
      <c r="V439" s="5"/>
      <c r="W439" s="5"/>
      <c r="X439" s="5" t="s">
        <v>3</v>
      </c>
      <c r="Y439" s="8" t="str">
        <f aca="false">IF($C439&lt;&gt;"",TRIM($C439&amp;", "&amp;$D439&amp;", "&amp;$E439&amp;" "&amp;$F439),IF($R439&lt;&gt;"",$R439,IF($D439&lt;&gt;"",$D439&amp;", "&amp;$E439,$I439)))</f>
        <v>Beaumont, TX</v>
      </c>
    </row>
    <row r="440" customFormat="false" ht="15" hidden="false" customHeight="true" outlineLevel="0" collapsed="false">
      <c r="A440" s="5" t="s">
        <v>1434</v>
      </c>
      <c r="B440" s="5" t="s">
        <v>1434</v>
      </c>
      <c r="C440" s="5"/>
      <c r="D440" s="5" t="s">
        <v>1435</v>
      </c>
      <c r="E440" s="5" t="s">
        <v>40</v>
      </c>
      <c r="F440" s="5"/>
      <c r="G440" s="5" t="s">
        <v>144</v>
      </c>
      <c r="H440" s="5" t="s">
        <v>157</v>
      </c>
      <c r="I440" s="5" t="s">
        <v>42</v>
      </c>
      <c r="J440" s="6" t="n">
        <v>0.5</v>
      </c>
      <c r="K440" s="5" t="s">
        <v>414</v>
      </c>
      <c r="L440" s="5" t="n">
        <f aca="false">IF($K440="",0,LEN($K440)-LEN(SUBSTITUTE($K440,",",""))+1)</f>
        <v>2</v>
      </c>
      <c r="M440" s="5" t="s">
        <v>44</v>
      </c>
      <c r="N440" s="5" t="str">
        <f aca="false">TRIM($A440&amp;" "&amp;IF($C440="",$R440,$C440&amp;" "&amp;$D440&amp;" "&amp;$E440&amp;" "&amp;$F440))</f>
        <v>Spec's #028 North Louetta</v>
      </c>
      <c r="O440" s="5" t="str">
        <f aca="false">IF($P440&lt;&gt;"","Exclude",IF(AND($M440&lt;&gt;"Full address",$R440=""),"Needs address",IF($J440&lt;0.5,"Hold - low volume",IF(LEFT($W440,3)="Low","Verify address",IF($G440="Needs review","Needs premise review",IF($X440="Estimated","Ready - address estimated","Ready"))))))</f>
        <v>Needs address</v>
      </c>
      <c r="P440" s="5"/>
      <c r="Q440" s="5" t="s">
        <v>45</v>
      </c>
      <c r="R440" s="5"/>
      <c r="S440" s="5"/>
      <c r="T440" s="7"/>
      <c r="U440" s="7"/>
      <c r="V440" s="5"/>
      <c r="W440" s="5"/>
      <c r="X440" s="5" t="s">
        <v>3</v>
      </c>
      <c r="Y440" s="8" t="str">
        <f aca="false">IF($C440&lt;&gt;"",TRIM($C440&amp;", "&amp;$D440&amp;", "&amp;$E440&amp;" "&amp;$F440),IF($R440&lt;&gt;"",$R440,IF($D440&lt;&gt;"",$D440&amp;", "&amp;$E440,$I440)))</f>
        <v>Spring, TX</v>
      </c>
    </row>
    <row r="441" customFormat="false" ht="15" hidden="false" customHeight="true" outlineLevel="0" collapsed="false">
      <c r="A441" s="5" t="s">
        <v>1436</v>
      </c>
      <c r="B441" s="5" t="s">
        <v>1436</v>
      </c>
      <c r="C441" s="5"/>
      <c r="D441" s="5" t="s">
        <v>354</v>
      </c>
      <c r="E441" s="5" t="s">
        <v>40</v>
      </c>
      <c r="F441" s="5"/>
      <c r="G441" s="5" t="s">
        <v>144</v>
      </c>
      <c r="H441" s="5" t="s">
        <v>41</v>
      </c>
      <c r="I441" s="5" t="s">
        <v>42</v>
      </c>
      <c r="J441" s="6" t="n">
        <v>0.5</v>
      </c>
      <c r="K441" s="5" t="s">
        <v>63</v>
      </c>
      <c r="L441" s="5" t="n">
        <f aca="false">IF($K441="",0,LEN($K441)-LEN(SUBSTITUTE($K441,",",""))+1)</f>
        <v>2</v>
      </c>
      <c r="M441" s="5" t="s">
        <v>44</v>
      </c>
      <c r="N441" s="5" t="str">
        <f aca="false">TRIM($A441&amp;" "&amp;IF($C441="",$R441,$C441&amp;" "&amp;$D441&amp;" "&amp;$E441&amp;" "&amp;$F441))</f>
        <v>Spec's #152 Preston Center</v>
      </c>
      <c r="O441" s="5" t="str">
        <f aca="false">IF($P441&lt;&gt;"","Exclude",IF(AND($M441&lt;&gt;"Full address",$R441=""),"Needs address",IF($J441&lt;0.5,"Hold - low volume",IF(LEFT($W441,3)="Low","Verify address",IF($G441="Needs review","Needs premise review",IF($X441="Estimated","Ready - address estimated","Ready"))))))</f>
        <v>Needs address</v>
      </c>
      <c r="P441" s="5"/>
      <c r="Q441" s="5" t="s">
        <v>45</v>
      </c>
      <c r="R441" s="5"/>
      <c r="S441" s="5"/>
      <c r="T441" s="7"/>
      <c r="U441" s="7"/>
      <c r="V441" s="5"/>
      <c r="W441" s="5"/>
      <c r="X441" s="5" t="s">
        <v>3</v>
      </c>
      <c r="Y441" s="8" t="str">
        <f aca="false">IF($C441&lt;&gt;"",TRIM($C441&amp;", "&amp;$D441&amp;", "&amp;$E441&amp;" "&amp;$F441),IF($R441&lt;&gt;"",$R441,IF($D441&lt;&gt;"",$D441&amp;", "&amp;$E441,$I441)))</f>
        <v>Dallas, TX</v>
      </c>
    </row>
    <row r="442" customFormat="false" ht="15" hidden="false" customHeight="true" outlineLevel="0" collapsed="false">
      <c r="A442" s="5" t="s">
        <v>1437</v>
      </c>
      <c r="B442" s="5" t="s">
        <v>1437</v>
      </c>
      <c r="C442" s="5"/>
      <c r="D442" s="5" t="s">
        <v>1236</v>
      </c>
      <c r="E442" s="5" t="s">
        <v>40</v>
      </c>
      <c r="F442" s="5"/>
      <c r="G442" s="5" t="s">
        <v>144</v>
      </c>
      <c r="H442" s="5" t="s">
        <v>41</v>
      </c>
      <c r="I442" s="5" t="s">
        <v>42</v>
      </c>
      <c r="J442" s="6" t="n">
        <v>0.5</v>
      </c>
      <c r="K442" s="5" t="s">
        <v>469</v>
      </c>
      <c r="L442" s="5" t="n">
        <f aca="false">IF($K442="",0,LEN($K442)-LEN(SUBSTITUTE($K442,",",""))+1)</f>
        <v>1</v>
      </c>
      <c r="M442" s="5" t="s">
        <v>44</v>
      </c>
      <c r="N442" s="5" t="str">
        <f aca="false">TRIM($A442&amp;" "&amp;IF($C442="",$R442,$C442&amp;" "&amp;$D442&amp;" "&amp;$E442&amp;" "&amp;$F442))</f>
        <v>Spec's #167 Lewisville</v>
      </c>
      <c r="O442" s="5" t="str">
        <f aca="false">IF($P442&lt;&gt;"","Exclude",IF(AND($M442&lt;&gt;"Full address",$R442=""),"Needs address",IF($J442&lt;0.5,"Hold - low volume",IF(LEFT($W442,3)="Low","Verify address",IF($G442="Needs review","Needs premise review",IF($X442="Estimated","Ready - address estimated","Ready"))))))</f>
        <v>Needs address</v>
      </c>
      <c r="P442" s="5"/>
      <c r="Q442" s="5" t="s">
        <v>45</v>
      </c>
      <c r="R442" s="5"/>
      <c r="S442" s="5"/>
      <c r="T442" s="7"/>
      <c r="U442" s="7"/>
      <c r="V442" s="5"/>
      <c r="W442" s="5"/>
      <c r="X442" s="5" t="s">
        <v>3</v>
      </c>
      <c r="Y442" s="8" t="str">
        <f aca="false">IF($C442&lt;&gt;"",TRIM($C442&amp;", "&amp;$D442&amp;", "&amp;$E442&amp;" "&amp;$F442),IF($R442&lt;&gt;"",$R442,IF($D442&lt;&gt;"",$D442&amp;", "&amp;$E442,$I442)))</f>
        <v>Lewisville, TX</v>
      </c>
    </row>
    <row r="443" customFormat="false" ht="15" hidden="false" customHeight="true" outlineLevel="0" collapsed="false">
      <c r="A443" s="5" t="s">
        <v>1438</v>
      </c>
      <c r="B443" s="5" t="s">
        <v>1438</v>
      </c>
      <c r="C443" s="5"/>
      <c r="D443" s="5" t="s">
        <v>1439</v>
      </c>
      <c r="E443" s="5" t="s">
        <v>40</v>
      </c>
      <c r="F443" s="5"/>
      <c r="G443" s="5" t="s">
        <v>144</v>
      </c>
      <c r="H443" s="5" t="s">
        <v>157</v>
      </c>
      <c r="I443" s="5" t="s">
        <v>42</v>
      </c>
      <c r="J443" s="6" t="n">
        <v>0.5</v>
      </c>
      <c r="K443" s="5" t="s">
        <v>426</v>
      </c>
      <c r="L443" s="5" t="n">
        <f aca="false">IF($K443="",0,LEN($K443)-LEN(SUBSTITUTE($K443,",",""))+1)</f>
        <v>1</v>
      </c>
      <c r="M443" s="5" t="s">
        <v>44</v>
      </c>
      <c r="N443" s="5" t="str">
        <f aca="false">TRIM($A443&amp;" "&amp;IF($C443="",$R443,$C443&amp;" "&amp;$D443&amp;" "&amp;$E443&amp;" "&amp;$F443))</f>
        <v>Spec's #192 Porter</v>
      </c>
      <c r="O443" s="5" t="str">
        <f aca="false">IF($P443&lt;&gt;"","Exclude",IF(AND($M443&lt;&gt;"Full address",$R443=""),"Needs address",IF($J443&lt;0.5,"Hold - low volume",IF(LEFT($W443,3)="Low","Verify address",IF($G443="Needs review","Needs premise review",IF($X443="Estimated","Ready - address estimated","Ready"))))))</f>
        <v>Needs address</v>
      </c>
      <c r="P443" s="5"/>
      <c r="Q443" s="5" t="s">
        <v>45</v>
      </c>
      <c r="R443" s="5"/>
      <c r="S443" s="5"/>
      <c r="T443" s="7"/>
      <c r="U443" s="7"/>
      <c r="V443" s="5"/>
      <c r="W443" s="5"/>
      <c r="X443" s="5" t="s">
        <v>3</v>
      </c>
      <c r="Y443" s="8" t="str">
        <f aca="false">IF($C443&lt;&gt;"",TRIM($C443&amp;", "&amp;$D443&amp;", "&amp;$E443&amp;" "&amp;$F443),IF($R443&lt;&gt;"",$R443,IF($D443&lt;&gt;"",$D443&amp;", "&amp;$E443,$I443)))</f>
        <v>Porter, TX</v>
      </c>
    </row>
    <row r="444" customFormat="false" ht="15" hidden="false" customHeight="true" outlineLevel="0" collapsed="false">
      <c r="A444" s="5" t="s">
        <v>1440</v>
      </c>
      <c r="B444" s="5" t="s">
        <v>1440</v>
      </c>
      <c r="C444" s="5"/>
      <c r="D444" s="5" t="s">
        <v>1441</v>
      </c>
      <c r="E444" s="5" t="s">
        <v>40</v>
      </c>
      <c r="F444" s="5"/>
      <c r="G444" s="5" t="s">
        <v>144</v>
      </c>
      <c r="H444" s="5" t="s">
        <v>360</v>
      </c>
      <c r="I444" s="5" t="s">
        <v>42</v>
      </c>
      <c r="J444" s="6" t="n">
        <v>0.5</v>
      </c>
      <c r="K444" s="5" t="s">
        <v>414</v>
      </c>
      <c r="L444" s="5" t="n">
        <f aca="false">IF($K444="",0,LEN($K444)-LEN(SUBSTITUTE($K444,",",""))+1)</f>
        <v>2</v>
      </c>
      <c r="M444" s="5" t="s">
        <v>44</v>
      </c>
      <c r="N444" s="5" t="str">
        <f aca="false">TRIM($A444&amp;" "&amp;IF($C444="",$R444,$C444&amp;" "&amp;$D444&amp;" "&amp;$E444&amp;" "&amp;$F444))</f>
        <v>Spec's #221 Pflugerville</v>
      </c>
      <c r="O444" s="5" t="str">
        <f aca="false">IF($P444&lt;&gt;"","Exclude",IF(AND($M444&lt;&gt;"Full address",$R444=""),"Needs address",IF($J444&lt;0.5,"Hold - low volume",IF(LEFT($W444,3)="Low","Verify address",IF($G444="Needs review","Needs premise review",IF($X444="Estimated","Ready - address estimated","Ready"))))))</f>
        <v>Needs address</v>
      </c>
      <c r="P444" s="5"/>
      <c r="Q444" s="5" t="s">
        <v>45</v>
      </c>
      <c r="R444" s="5"/>
      <c r="S444" s="5"/>
      <c r="T444" s="7"/>
      <c r="U444" s="7"/>
      <c r="V444" s="5"/>
      <c r="W444" s="5"/>
      <c r="X444" s="5" t="s">
        <v>3</v>
      </c>
      <c r="Y444" s="8" t="str">
        <f aca="false">IF($C444&lt;&gt;"",TRIM($C444&amp;", "&amp;$D444&amp;", "&amp;$E444&amp;" "&amp;$F444),IF($R444&lt;&gt;"",$R444,IF($D444&lt;&gt;"",$D444&amp;", "&amp;$E444,$I444)))</f>
        <v>Pflugerville, TX</v>
      </c>
    </row>
    <row r="445" customFormat="false" ht="15" hidden="false" customHeight="true" outlineLevel="0" collapsed="false">
      <c r="A445" s="5" t="s">
        <v>1442</v>
      </c>
      <c r="B445" s="5" t="s">
        <v>1442</v>
      </c>
      <c r="C445" s="5"/>
      <c r="D445" s="5" t="s">
        <v>1443</v>
      </c>
      <c r="E445" s="5" t="s">
        <v>40</v>
      </c>
      <c r="F445" s="5"/>
      <c r="G445" s="5" t="s">
        <v>144</v>
      </c>
      <c r="H445" s="5" t="s">
        <v>41</v>
      </c>
      <c r="I445" s="5" t="s">
        <v>42</v>
      </c>
      <c r="J445" s="6" t="n">
        <v>0.5</v>
      </c>
      <c r="K445" s="5" t="s">
        <v>469</v>
      </c>
      <c r="L445" s="5" t="n">
        <f aca="false">IF($K445="",0,LEN($K445)-LEN(SUBSTITUTE($K445,",",""))+1)</f>
        <v>1</v>
      </c>
      <c r="M445" s="5" t="s">
        <v>44</v>
      </c>
      <c r="N445" s="5" t="str">
        <f aca="false">TRIM($A445&amp;" "&amp;IF($C445="",$R445,$C445&amp;" "&amp;$D445&amp;" "&amp;$E445&amp;" "&amp;$F445))</f>
        <v>Spec's #347 Garrett</v>
      </c>
      <c r="O445" s="5" t="str">
        <f aca="false">IF($P445&lt;&gt;"","Exclude",IF(AND($M445&lt;&gt;"Full address",$R445=""),"Needs address",IF($J445&lt;0.5,"Hold - low volume",IF(LEFT($W445,3)="Low","Verify address",IF($G445="Needs review","Needs premise review",IF($X445="Estimated","Ready - address estimated","Ready"))))))</f>
        <v>Needs address</v>
      </c>
      <c r="P445" s="5"/>
      <c r="Q445" s="5" t="s">
        <v>45</v>
      </c>
      <c r="R445" s="5"/>
      <c r="S445" s="5"/>
      <c r="T445" s="7"/>
      <c r="U445" s="7"/>
      <c r="V445" s="5"/>
      <c r="W445" s="5"/>
      <c r="X445" s="5" t="s">
        <v>3</v>
      </c>
      <c r="Y445" s="8" t="str">
        <f aca="false">IF($C445&lt;&gt;"",TRIM($C445&amp;", "&amp;$D445&amp;", "&amp;$E445&amp;" "&amp;$F445),IF($R445&lt;&gt;"",$R445,IF($D445&lt;&gt;"",$D445&amp;", "&amp;$E445,$I445)))</f>
        <v>Garrett, TX</v>
      </c>
    </row>
    <row r="446" customFormat="false" ht="15" hidden="false" customHeight="true" outlineLevel="0" collapsed="false">
      <c r="A446" s="5" t="s">
        <v>1444</v>
      </c>
      <c r="B446" s="5" t="s">
        <v>1445</v>
      </c>
      <c r="C446" s="5"/>
      <c r="D446" s="5" t="s">
        <v>855</v>
      </c>
      <c r="E446" s="5" t="s">
        <v>40</v>
      </c>
      <c r="F446" s="5"/>
      <c r="G446" s="5" t="s">
        <v>31</v>
      </c>
      <c r="H446" s="5" t="s">
        <v>157</v>
      </c>
      <c r="I446" s="5" t="s">
        <v>42</v>
      </c>
      <c r="J446" s="6" t="n">
        <v>0.5</v>
      </c>
      <c r="K446" s="5" t="s">
        <v>76</v>
      </c>
      <c r="L446" s="5" t="n">
        <f aca="false">IF($K446="",0,LEN($K446)-LEN(SUBSTITUTE($K446,",",""))+1)</f>
        <v>1</v>
      </c>
      <c r="M446" s="5" t="s">
        <v>44</v>
      </c>
      <c r="N446" s="5" t="str">
        <f aca="false">TRIM($A446&amp;" "&amp;IF($C446="",$R446,$C446&amp;" "&amp;$D446&amp;" "&amp;$E446&amp;" "&amp;$F446))</f>
        <v>Stonefield Liquor</v>
      </c>
      <c r="O446" s="5" t="str">
        <f aca="false">IF($P446&lt;&gt;"","Exclude",IF(AND($M446&lt;&gt;"Full address",$R446=""),"Needs address",IF($J446&lt;0.5,"Hold - low volume",IF(LEFT($W446,3)="Low","Verify address",IF($G446="Needs review","Needs premise review",IF($X446="Estimated","Ready - address estimated","Ready"))))))</f>
        <v>Needs address</v>
      </c>
      <c r="P446" s="5"/>
      <c r="Q446" s="5" t="s">
        <v>45</v>
      </c>
      <c r="R446" s="5"/>
      <c r="S446" s="5"/>
      <c r="T446" s="7"/>
      <c r="U446" s="7"/>
      <c r="V446" s="5"/>
      <c r="W446" s="5"/>
      <c r="X446" s="5" t="s">
        <v>3</v>
      </c>
      <c r="Y446" s="8" t="str">
        <f aca="false">IF($C446&lt;&gt;"",TRIM($C446&amp;", "&amp;$D446&amp;", "&amp;$E446&amp;" "&amp;$F446),IF($R446&lt;&gt;"",$R446,IF($D446&lt;&gt;"",$D446&amp;", "&amp;$E446,$I446)))</f>
        <v>Houston, TX</v>
      </c>
    </row>
    <row r="447" customFormat="false" ht="15" hidden="false" customHeight="true" outlineLevel="0" collapsed="false">
      <c r="A447" s="5" t="s">
        <v>1446</v>
      </c>
      <c r="B447" s="5" t="s">
        <v>1446</v>
      </c>
      <c r="C447" s="5"/>
      <c r="D447" s="5"/>
      <c r="E447" s="5" t="s">
        <v>913</v>
      </c>
      <c r="F447" s="5"/>
      <c r="G447" s="5" t="s">
        <v>377</v>
      </c>
      <c r="H447" s="5" t="s">
        <v>914</v>
      </c>
      <c r="I447" s="5" t="s">
        <v>915</v>
      </c>
      <c r="J447" s="6" t="n">
        <v>0.4167</v>
      </c>
      <c r="K447" s="5" t="s">
        <v>63</v>
      </c>
      <c r="L447" s="5" t="n">
        <f aca="false">IF($K447="",0,LEN($K447)-LEN(SUBSTITUTE($K447,",",""))+1)</f>
        <v>2</v>
      </c>
      <c r="M447" s="5" t="s">
        <v>916</v>
      </c>
      <c r="N447" s="5" t="str">
        <f aca="false">TRIM($A447&amp;" "&amp;IF($C447="",$R447,$C447&amp;" "&amp;$D447&amp;" "&amp;$E447&amp;" "&amp;$F447))</f>
        <v>Voodoo Brewpub - Delafield</v>
      </c>
      <c r="O447" s="5" t="str">
        <f aca="false">IF($P447&lt;&gt;"","Exclude",IF(AND($M447&lt;&gt;"Full address",$R447=""),"Needs address",IF($J447&lt;0.5,"Hold - low volume",IF(LEFT($W447,3)="Low","Verify address",IF($G447="Needs review","Needs premise review",IF($X447="Estimated","Ready - address estimated","Ready"))))))</f>
        <v>Needs address</v>
      </c>
      <c r="P447" s="5"/>
      <c r="Q447" s="5" t="s">
        <v>917</v>
      </c>
      <c r="R447" s="5"/>
      <c r="S447" s="5"/>
      <c r="T447" s="7"/>
      <c r="U447" s="7"/>
      <c r="V447" s="5"/>
      <c r="W447" s="5"/>
      <c r="X447" s="5" t="s">
        <v>8</v>
      </c>
      <c r="Y447" s="8" t="str">
        <f aca="false">IF($C447&lt;&gt;"",TRIM($C447&amp;", "&amp;$D447&amp;", "&amp;$E447&amp;" "&amp;$F447),IF($R447&lt;&gt;"",$R447,IF($D447&lt;&gt;"",$D447&amp;", "&amp;$E447,$I447)))</f>
        <v>Wisconsin</v>
      </c>
    </row>
    <row r="448" customFormat="false" ht="15" hidden="false" customHeight="true" outlineLevel="0" collapsed="false">
      <c r="A448" s="5" t="s">
        <v>1447</v>
      </c>
      <c r="B448" s="5" t="s">
        <v>1448</v>
      </c>
      <c r="C448" s="5" t="s">
        <v>1449</v>
      </c>
      <c r="D448" s="5" t="s">
        <v>1450</v>
      </c>
      <c r="E448" s="5" t="s">
        <v>484</v>
      </c>
      <c r="F448" s="5" t="s">
        <v>1451</v>
      </c>
      <c r="G448" s="5" t="s">
        <v>31</v>
      </c>
      <c r="H448" s="5" t="s">
        <v>486</v>
      </c>
      <c r="I448" s="5" t="s">
        <v>487</v>
      </c>
      <c r="J448" s="6" t="n">
        <v>0.34</v>
      </c>
      <c r="K448" s="5" t="s">
        <v>414</v>
      </c>
      <c r="L448" s="5" t="n">
        <f aca="false">IF($K448="",0,LEN($K448)-LEN(SUBSTITUTE($K448,",",""))+1)</f>
        <v>2</v>
      </c>
      <c r="M448" s="5" t="s">
        <v>35</v>
      </c>
      <c r="N448" s="5" t="str">
        <f aca="false">TRIM($A448&amp;" "&amp;IF($C448="",$R448,$C448&amp;" "&amp;$D448&amp;" "&amp;$E448&amp;" "&amp;$F448))</f>
        <v>Marigold Wine, Spirits, Tobacco 5907 Nieman Rd Shawnee KS 66203</v>
      </c>
      <c r="O448" s="5" t="str">
        <f aca="false">IF($P448&lt;&gt;"","Exclude",IF(AND($M448&lt;&gt;"Full address",$R448=""),"Needs address",IF($J448&lt;0.5,"Hold - low volume",IF(LEFT($W448,3)="Low","Verify address",IF($G448="Needs review","Needs premise review",IF($X448="Estimated","Ready - address estimated","Ready"))))))</f>
        <v>Hold - low volume</v>
      </c>
      <c r="P448" s="5"/>
      <c r="Q448" s="5" t="s">
        <v>488</v>
      </c>
      <c r="R448" s="5"/>
      <c r="S448" s="5"/>
      <c r="T448" s="7"/>
      <c r="U448" s="7"/>
      <c r="V448" s="5"/>
      <c r="W448" s="5"/>
      <c r="X448" s="5" t="s">
        <v>37</v>
      </c>
      <c r="Y448" s="8" t="str">
        <f aca="false">IF($C448&lt;&gt;"",TRIM($C448&amp;", "&amp;$D448&amp;", "&amp;$E448&amp;" "&amp;$F448),IF($R448&lt;&gt;"",$R448,IF($D448&lt;&gt;"",$D448&amp;", "&amp;$E448,$I448)))</f>
        <v>5907 Nieman Rd, Shawnee, KS 66203</v>
      </c>
    </row>
    <row r="449" customFormat="false" ht="15" hidden="false" customHeight="true" outlineLevel="0" collapsed="false">
      <c r="A449" s="5" t="s">
        <v>1452</v>
      </c>
      <c r="B449" s="5" t="s">
        <v>1453</v>
      </c>
      <c r="C449" s="5" t="s">
        <v>1454</v>
      </c>
      <c r="D449" s="5" t="s">
        <v>492</v>
      </c>
      <c r="E449" s="5" t="s">
        <v>493</v>
      </c>
      <c r="F449" s="5" t="s">
        <v>742</v>
      </c>
      <c r="G449" s="5" t="s">
        <v>144</v>
      </c>
      <c r="H449" s="5" t="s">
        <v>495</v>
      </c>
      <c r="I449" s="5" t="s">
        <v>496</v>
      </c>
      <c r="J449" s="6" t="n">
        <v>0.34</v>
      </c>
      <c r="K449" s="5" t="s">
        <v>755</v>
      </c>
      <c r="L449" s="5" t="n">
        <f aca="false">IF($K449="",0,LEN($K449)-LEN(SUBSTITUTE($K449,",",""))+1)</f>
        <v>2</v>
      </c>
      <c r="M449" s="5" t="s">
        <v>35</v>
      </c>
      <c r="N449" s="5" t="str">
        <f aca="false">TRIM($A449&amp;" "&amp;IF($C449="",$R449,$C449&amp;" "&amp;$D449&amp;" "&amp;$E449&amp;" "&amp;$F449))</f>
        <v>Craft Republic 1824 S 3rd St St. Louis MO 63104</v>
      </c>
      <c r="O449" s="5" t="str">
        <f aca="false">IF($P449&lt;&gt;"","Exclude",IF(AND($M449&lt;&gt;"Full address",$R449=""),"Needs address",IF($J449&lt;0.5,"Hold - low volume",IF(LEFT($W449,3)="Low","Verify address",IF($G449="Needs review","Needs premise review",IF($X449="Estimated","Ready - address estimated","Ready"))))))</f>
        <v>Hold - low volume</v>
      </c>
      <c r="P449" s="5"/>
      <c r="Q449" s="5" t="s">
        <v>498</v>
      </c>
      <c r="R449" s="5"/>
      <c r="S449" s="5"/>
      <c r="T449" s="7"/>
      <c r="U449" s="7"/>
      <c r="V449" s="5"/>
      <c r="W449" s="5"/>
      <c r="X449" s="5" t="s">
        <v>37</v>
      </c>
      <c r="Y449" s="8" t="str">
        <f aca="false">IF($C449&lt;&gt;"",TRIM($C449&amp;", "&amp;$D449&amp;", "&amp;$E449&amp;" "&amp;$F449),IF($R449&lt;&gt;"",$R449,IF($D449&lt;&gt;"",$D449&amp;", "&amp;$E449,$I449)))</f>
        <v>1824 S 3rd St, St. Louis, MO 63104</v>
      </c>
    </row>
    <row r="450" customFormat="false" ht="15" hidden="false" customHeight="true" outlineLevel="0" collapsed="false">
      <c r="A450" s="5" t="s">
        <v>1455</v>
      </c>
      <c r="B450" s="5" t="s">
        <v>1456</v>
      </c>
      <c r="C450" s="5" t="s">
        <v>1457</v>
      </c>
      <c r="D450" s="5" t="s">
        <v>324</v>
      </c>
      <c r="E450" s="5" t="s">
        <v>493</v>
      </c>
      <c r="F450" s="5" t="s">
        <v>1458</v>
      </c>
      <c r="G450" s="5" t="s">
        <v>377</v>
      </c>
      <c r="H450" s="5" t="s">
        <v>495</v>
      </c>
      <c r="I450" s="5" t="s">
        <v>496</v>
      </c>
      <c r="J450" s="6" t="n">
        <v>0.34</v>
      </c>
      <c r="K450" s="5" t="s">
        <v>856</v>
      </c>
      <c r="L450" s="5" t="n">
        <f aca="false">IF($K450="",0,LEN($K450)-LEN(SUBSTITUTE($K450,",",""))+1)</f>
        <v>2</v>
      </c>
      <c r="M450" s="5" t="s">
        <v>35</v>
      </c>
      <c r="N450" s="5" t="str">
        <f aca="false">TRIM($A450&amp;" "&amp;IF($C450="",$R450,$C450&amp;" "&amp;$D450&amp;" "&amp;$E450&amp;" "&amp;$F450))</f>
        <v>Tellers Gallery &amp; Bar 820 E Broadway St Columbia MO 65201</v>
      </c>
      <c r="O450" s="5" t="str">
        <f aca="false">IF($P450&lt;&gt;"","Exclude",IF(AND($M450&lt;&gt;"Full address",$R450=""),"Needs address",IF($J450&lt;0.5,"Hold - low volume",IF(LEFT($W450,3)="Low","Verify address",IF($G450="Needs review","Needs premise review",IF($X450="Estimated","Ready - address estimated","Ready"))))))</f>
        <v>Hold - low volume</v>
      </c>
      <c r="P450" s="5"/>
      <c r="Q450" s="5" t="s">
        <v>498</v>
      </c>
      <c r="R450" s="5"/>
      <c r="S450" s="5"/>
      <c r="T450" s="7"/>
      <c r="U450" s="7"/>
      <c r="V450" s="5"/>
      <c r="W450" s="5"/>
      <c r="X450" s="5" t="s">
        <v>37</v>
      </c>
      <c r="Y450" s="8" t="str">
        <f aca="false">IF($C450&lt;&gt;"",TRIM($C450&amp;", "&amp;$D450&amp;", "&amp;$E450&amp;" "&amp;$F450),IF($R450&lt;&gt;"",$R450,IF($D450&lt;&gt;"",$D450&amp;", "&amp;$E450,$I450)))</f>
        <v>820 E Broadway St, Columbia, MO 65201</v>
      </c>
    </row>
    <row r="451" customFormat="false" ht="15" hidden="false" customHeight="true" outlineLevel="0" collapsed="false">
      <c r="A451" s="5" t="s">
        <v>1459</v>
      </c>
      <c r="B451" s="5" t="s">
        <v>1459</v>
      </c>
      <c r="C451" s="5"/>
      <c r="D451" s="5" t="s">
        <v>1460</v>
      </c>
      <c r="E451" s="5" t="s">
        <v>40</v>
      </c>
      <c r="F451" s="5"/>
      <c r="G451" s="5" t="s">
        <v>144</v>
      </c>
      <c r="H451" s="5" t="s">
        <v>157</v>
      </c>
      <c r="I451" s="5" t="s">
        <v>42</v>
      </c>
      <c r="J451" s="6" t="n">
        <v>0.34</v>
      </c>
      <c r="K451" s="5" t="s">
        <v>63</v>
      </c>
      <c r="L451" s="5" t="n">
        <f aca="false">IF($K451="",0,LEN($K451)-LEN(SUBSTITUTE($K451,",",""))+1)</f>
        <v>2</v>
      </c>
      <c r="M451" s="5" t="s">
        <v>44</v>
      </c>
      <c r="N451" s="5" t="str">
        <f aca="false">TRIM($A451&amp;" "&amp;IF($C451="",$R451,$C451&amp;" "&amp;$D451&amp;" "&amp;$E451&amp;" "&amp;$F451))</f>
        <v>Spec's #037 College Station - Texas Ave</v>
      </c>
      <c r="O451" s="5" t="str">
        <f aca="false">IF($P451&lt;&gt;"","Exclude",IF(AND($M451&lt;&gt;"Full address",$R451=""),"Needs address",IF($J451&lt;0.5,"Hold - low volume",IF(LEFT($W451,3)="Low","Verify address",IF($G451="Needs review","Needs premise review",IF($X451="Estimated","Ready - address estimated","Ready"))))))</f>
        <v>Needs address</v>
      </c>
      <c r="P451" s="5"/>
      <c r="Q451" s="5" t="s">
        <v>45</v>
      </c>
      <c r="R451" s="5"/>
      <c r="S451" s="5"/>
      <c r="T451" s="7"/>
      <c r="U451" s="7"/>
      <c r="V451" s="5"/>
      <c r="W451" s="5"/>
      <c r="X451" s="5" t="s">
        <v>3</v>
      </c>
      <c r="Y451" s="8" t="str">
        <f aca="false">IF($C451&lt;&gt;"",TRIM($C451&amp;", "&amp;$D451&amp;", "&amp;$E451&amp;" "&amp;$F451),IF($R451&lt;&gt;"",$R451,IF($D451&lt;&gt;"",$D451&amp;", "&amp;$E451,$I451)))</f>
        <v>College Station, TX</v>
      </c>
    </row>
    <row r="452" customFormat="false" ht="15" hidden="false" customHeight="true" outlineLevel="0" collapsed="false">
      <c r="A452" s="5" t="s">
        <v>1461</v>
      </c>
      <c r="B452" s="5" t="s">
        <v>1461</v>
      </c>
      <c r="C452" s="5"/>
      <c r="D452" s="5" t="s">
        <v>855</v>
      </c>
      <c r="E452" s="5" t="s">
        <v>40</v>
      </c>
      <c r="F452" s="5"/>
      <c r="G452" s="5" t="s">
        <v>144</v>
      </c>
      <c r="H452" s="5" t="s">
        <v>157</v>
      </c>
      <c r="I452" s="5" t="s">
        <v>42</v>
      </c>
      <c r="J452" s="6" t="n">
        <v>0.34</v>
      </c>
      <c r="K452" s="5" t="s">
        <v>63</v>
      </c>
      <c r="L452" s="5" t="n">
        <f aca="false">IF($K452="",0,LEN($K452)-LEN(SUBSTITUTE($K452,",",""))+1)</f>
        <v>2</v>
      </c>
      <c r="M452" s="5" t="s">
        <v>44</v>
      </c>
      <c r="N452" s="5" t="str">
        <f aca="false">TRIM($A452&amp;" "&amp;IF($C452="",$R452,$C452&amp;" "&amp;$D452&amp;" "&amp;$E452&amp;" "&amp;$F452))</f>
        <v>Spec's #040 Bear Creek</v>
      </c>
      <c r="O452" s="5" t="str">
        <f aca="false">IF($P452&lt;&gt;"","Exclude",IF(AND($M452&lt;&gt;"Full address",$R452=""),"Needs address",IF($J452&lt;0.5,"Hold - low volume",IF(LEFT($W452,3)="Low","Verify address",IF($G452="Needs review","Needs premise review",IF($X452="Estimated","Ready - address estimated","Ready"))))))</f>
        <v>Needs address</v>
      </c>
      <c r="P452" s="5"/>
      <c r="Q452" s="5" t="s">
        <v>45</v>
      </c>
      <c r="R452" s="5"/>
      <c r="S452" s="5"/>
      <c r="T452" s="7"/>
      <c r="U452" s="7"/>
      <c r="V452" s="5"/>
      <c r="W452" s="5"/>
      <c r="X452" s="5" t="s">
        <v>3</v>
      </c>
      <c r="Y452" s="8" t="str">
        <f aca="false">IF($C452&lt;&gt;"",TRIM($C452&amp;", "&amp;$D452&amp;", "&amp;$E452&amp;" "&amp;$F452),IF($R452&lt;&gt;"",$R452,IF($D452&lt;&gt;"",$D452&amp;", "&amp;$E452,$I452)))</f>
        <v>Houston, TX</v>
      </c>
    </row>
    <row r="453" customFormat="false" ht="15" hidden="false" customHeight="true" outlineLevel="0" collapsed="false">
      <c r="A453" s="5" t="s">
        <v>1462</v>
      </c>
      <c r="B453" s="5" t="s">
        <v>1462</v>
      </c>
      <c r="C453" s="5"/>
      <c r="D453" s="5" t="s">
        <v>359</v>
      </c>
      <c r="E453" s="5" t="s">
        <v>40</v>
      </c>
      <c r="F453" s="5"/>
      <c r="G453" s="5" t="s">
        <v>144</v>
      </c>
      <c r="H453" s="5" t="s">
        <v>360</v>
      </c>
      <c r="I453" s="5" t="s">
        <v>42</v>
      </c>
      <c r="J453" s="6" t="n">
        <v>0.34</v>
      </c>
      <c r="K453" s="5" t="s">
        <v>395</v>
      </c>
      <c r="L453" s="5" t="n">
        <f aca="false">IF($K453="",0,LEN($K453)-LEN(SUBSTITUTE($K453,",",""))+1)</f>
        <v>2</v>
      </c>
      <c r="M453" s="5" t="s">
        <v>44</v>
      </c>
      <c r="N453" s="5" t="str">
        <f aca="false">TRIM($A453&amp;" "&amp;IF($C453="",$R453,$C453&amp;" "&amp;$D453&amp;" "&amp;$E453&amp;" "&amp;$F453))</f>
        <v>Spec's #098 East Southcross SA</v>
      </c>
      <c r="O453" s="5" t="str">
        <f aca="false">IF($P453&lt;&gt;"","Exclude",IF(AND($M453&lt;&gt;"Full address",$R453=""),"Needs address",IF($J453&lt;0.5,"Hold - low volume",IF(LEFT($W453,3)="Low","Verify address",IF($G453="Needs review","Needs premise review",IF($X453="Estimated","Ready - address estimated","Ready"))))))</f>
        <v>Needs address</v>
      </c>
      <c r="P453" s="5"/>
      <c r="Q453" s="5" t="s">
        <v>45</v>
      </c>
      <c r="R453" s="5"/>
      <c r="S453" s="5"/>
      <c r="T453" s="7"/>
      <c r="U453" s="7"/>
      <c r="V453" s="5"/>
      <c r="W453" s="5"/>
      <c r="X453" s="5" t="s">
        <v>3</v>
      </c>
      <c r="Y453" s="8" t="str">
        <f aca="false">IF($C453&lt;&gt;"",TRIM($C453&amp;", "&amp;$D453&amp;", "&amp;$E453&amp;" "&amp;$F453),IF($R453&lt;&gt;"",$R453,IF($D453&lt;&gt;"",$D453&amp;", "&amp;$E453,$I453)))</f>
        <v>San Antonio, TX</v>
      </c>
    </row>
    <row r="454" customFormat="false" ht="15" hidden="false" customHeight="true" outlineLevel="0" collapsed="false">
      <c r="A454" s="5" t="s">
        <v>1463</v>
      </c>
      <c r="B454" s="5" t="s">
        <v>1463</v>
      </c>
      <c r="C454" s="5"/>
      <c r="D454" s="5"/>
      <c r="E454" s="5" t="s">
        <v>913</v>
      </c>
      <c r="F454" s="5"/>
      <c r="G454" s="5" t="s">
        <v>31</v>
      </c>
      <c r="H454" s="5" t="s">
        <v>914</v>
      </c>
      <c r="I454" s="5" t="s">
        <v>915</v>
      </c>
      <c r="J454" s="6" t="n">
        <v>0.3333</v>
      </c>
      <c r="K454" s="5" t="s">
        <v>63</v>
      </c>
      <c r="L454" s="5" t="n">
        <f aca="false">IF($K454="",0,LEN($K454)-LEN(SUBSTITUTE($K454,",",""))+1)</f>
        <v>2</v>
      </c>
      <c r="M454" s="5" t="s">
        <v>916</v>
      </c>
      <c r="N454" s="5" t="str">
        <f aca="false">TRIM($A454&amp;" "&amp;IF($C454="",$R454,$C454&amp;" "&amp;$D454&amp;" "&amp;$E454&amp;" "&amp;$F454))</f>
        <v>Waterford Wine Co. - Delafield</v>
      </c>
      <c r="O454" s="5" t="str">
        <f aca="false">IF($P454&lt;&gt;"","Exclude",IF(AND($M454&lt;&gt;"Full address",$R454=""),"Needs address",IF($J454&lt;0.5,"Hold - low volume",IF(LEFT($W454,3)="Low","Verify address",IF($G454="Needs review","Needs premise review",IF($X454="Estimated","Ready - address estimated","Ready"))))))</f>
        <v>Needs address</v>
      </c>
      <c r="P454" s="5"/>
      <c r="Q454" s="5" t="s">
        <v>917</v>
      </c>
      <c r="R454" s="5"/>
      <c r="S454" s="5"/>
      <c r="T454" s="7"/>
      <c r="U454" s="7"/>
      <c r="V454" s="5"/>
      <c r="W454" s="5"/>
      <c r="X454" s="5" t="s">
        <v>8</v>
      </c>
      <c r="Y454" s="8" t="str">
        <f aca="false">IF($C454&lt;&gt;"",TRIM($C454&amp;", "&amp;$D454&amp;", "&amp;$E454&amp;" "&amp;$F454),IF($R454&lt;&gt;"",$R454,IF($D454&lt;&gt;"",$D454&amp;", "&amp;$E454,$I454)))</f>
        <v>Wisconsin</v>
      </c>
    </row>
    <row r="455" customFormat="false" ht="15" hidden="false" customHeight="true" outlineLevel="0" collapsed="false">
      <c r="A455" s="5" t="s">
        <v>1464</v>
      </c>
      <c r="B455" s="5" t="s">
        <v>1465</v>
      </c>
      <c r="C455" s="5" t="s">
        <v>1466</v>
      </c>
      <c r="D455" s="5" t="s">
        <v>1467</v>
      </c>
      <c r="E455" s="5" t="s">
        <v>59</v>
      </c>
      <c r="F455" s="5" t="s">
        <v>1468</v>
      </c>
      <c r="G455" s="5" t="s">
        <v>144</v>
      </c>
      <c r="H455" s="5" t="s">
        <v>61</v>
      </c>
      <c r="I455" s="5" t="s">
        <v>62</v>
      </c>
      <c r="J455" s="6" t="n">
        <v>0.33</v>
      </c>
      <c r="K455" s="5" t="s">
        <v>426</v>
      </c>
      <c r="L455" s="5" t="n">
        <f aca="false">IF($K455="",0,LEN($K455)-LEN(SUBSTITUTE($K455,",",""))+1)</f>
        <v>1</v>
      </c>
      <c r="M455" s="5" t="s">
        <v>35</v>
      </c>
      <c r="N455" s="5" t="str">
        <f aca="false">TRIM($A455&amp;" "&amp;IF($C455="",$R455,$C455&amp;" "&amp;$D455&amp;" "&amp;$E455&amp;" "&amp;$F455))</f>
        <v>Las Margs at Reunion 15550 E 103rd Pl #112 Commerce City CO 80022</v>
      </c>
      <c r="O455" s="5" t="str">
        <f aca="false">IF($P455&lt;&gt;"","Exclude",IF(AND($M455&lt;&gt;"Full address",$R455=""),"Needs address",IF($J455&lt;0.5,"Hold - low volume",IF(LEFT($W455,3)="Low","Verify address",IF($G455="Needs review","Needs premise review",IF($X455="Estimated","Ready - address estimated","Ready"))))))</f>
        <v>Hold - low volume</v>
      </c>
      <c r="P455" s="5"/>
      <c r="Q455" s="5" t="s">
        <v>64</v>
      </c>
      <c r="R455" s="5"/>
      <c r="S455" s="5"/>
      <c r="T455" s="7"/>
      <c r="U455" s="7"/>
      <c r="V455" s="5"/>
      <c r="W455" s="5"/>
      <c r="X455" s="5" t="s">
        <v>37</v>
      </c>
      <c r="Y455" s="8" t="str">
        <f aca="false">IF($C455&lt;&gt;"",TRIM($C455&amp;", "&amp;$D455&amp;", "&amp;$E455&amp;" "&amp;$F455),IF($R455&lt;&gt;"",$R455,IF($D455&lt;&gt;"",$D455&amp;", "&amp;$E455,$I455)))</f>
        <v>15550 E 103rd Pl #112, Commerce City, CO 80022</v>
      </c>
    </row>
    <row r="456" customFormat="false" ht="15" hidden="false" customHeight="true" outlineLevel="0" collapsed="false">
      <c r="A456" s="5" t="s">
        <v>1469</v>
      </c>
      <c r="B456" s="5" t="s">
        <v>1470</v>
      </c>
      <c r="C456" s="5" t="s">
        <v>1471</v>
      </c>
      <c r="D456" s="5" t="s">
        <v>1472</v>
      </c>
      <c r="E456" s="5" t="s">
        <v>59</v>
      </c>
      <c r="F456" s="5" t="s">
        <v>1473</v>
      </c>
      <c r="G456" s="5" t="s">
        <v>144</v>
      </c>
      <c r="H456" s="5" t="s">
        <v>280</v>
      </c>
      <c r="I456" s="5" t="s">
        <v>62</v>
      </c>
      <c r="J456" s="6" t="n">
        <v>0.33</v>
      </c>
      <c r="K456" s="5" t="s">
        <v>76</v>
      </c>
      <c r="L456" s="5" t="n">
        <f aca="false">IF($K456="",0,LEN($K456)-LEN(SUBSTITUTE($K456,",",""))+1)</f>
        <v>1</v>
      </c>
      <c r="M456" s="5" t="s">
        <v>35</v>
      </c>
      <c r="N456" s="5" t="str">
        <f aca="false">TRIM($A456&amp;" "&amp;IF($C456="",$R456,$C456&amp;" "&amp;$D456&amp;" "&amp;$E456&amp;" "&amp;$F456))</f>
        <v>Pep Boys Auto Service &amp; Tires 2800 E Platte Ave Colorado Springs CO 80909</v>
      </c>
      <c r="O456" s="5" t="str">
        <f aca="false">IF($P456&lt;&gt;"","Exclude",IF(AND($M456&lt;&gt;"Full address",$R456=""),"Needs address",IF($J456&lt;0.5,"Hold - low volume",IF(LEFT($W456,3)="Low","Verify address",IF($G456="Needs review","Needs premise review",IF($X456="Estimated","Ready - address estimated","Ready"))))))</f>
        <v>Hold - low volume</v>
      </c>
      <c r="P456" s="5"/>
      <c r="Q456" s="5" t="s">
        <v>64</v>
      </c>
      <c r="R456" s="5"/>
      <c r="S456" s="5"/>
      <c r="T456" s="7"/>
      <c r="U456" s="7"/>
      <c r="V456" s="5"/>
      <c r="W456" s="5"/>
      <c r="X456" s="5" t="s">
        <v>37</v>
      </c>
      <c r="Y456" s="8" t="str">
        <f aca="false">IF($C456&lt;&gt;"",TRIM($C456&amp;", "&amp;$D456&amp;", "&amp;$E456&amp;" "&amp;$F456),IF($R456&lt;&gt;"",$R456,IF($D456&lt;&gt;"",$D456&amp;", "&amp;$E456,$I456)))</f>
        <v>2800 E Platte Ave, Colorado Springs, CO 80909</v>
      </c>
    </row>
    <row r="457" customFormat="false" ht="15" hidden="false" customHeight="true" outlineLevel="0" collapsed="false">
      <c r="A457" s="5" t="s">
        <v>1474</v>
      </c>
      <c r="B457" s="5" t="s">
        <v>1475</v>
      </c>
      <c r="C457" s="5" t="s">
        <v>1476</v>
      </c>
      <c r="D457" s="5" t="s">
        <v>1477</v>
      </c>
      <c r="E457" s="5" t="s">
        <v>29</v>
      </c>
      <c r="F457" s="5" t="s">
        <v>1478</v>
      </c>
      <c r="G457" s="5" t="s">
        <v>144</v>
      </c>
      <c r="H457" s="5" t="s">
        <v>32</v>
      </c>
      <c r="I457" s="5" t="s">
        <v>33</v>
      </c>
      <c r="J457" s="6" t="n">
        <v>0.33</v>
      </c>
      <c r="K457" s="5" t="s">
        <v>76</v>
      </c>
      <c r="L457" s="5" t="n">
        <f aca="false">IF($K457="",0,LEN($K457)-LEN(SUBSTITUTE($K457,",",""))+1)</f>
        <v>1</v>
      </c>
      <c r="M457" s="5" t="s">
        <v>35</v>
      </c>
      <c r="N457" s="5" t="str">
        <f aca="false">TRIM($A457&amp;" "&amp;IF($C457="",$R457,$C457&amp;" "&amp;$D457&amp;" "&amp;$E457&amp;" "&amp;$F457))</f>
        <v>Blue Ridge Adventure Gear 342 E Main St Blue Ridge GA 30513</v>
      </c>
      <c r="O457" s="5" t="str">
        <f aca="false">IF($P457&lt;&gt;"","Exclude",IF(AND($M457&lt;&gt;"Full address",$R457=""),"Needs address",IF($J457&lt;0.5,"Hold - low volume",IF(LEFT($W457,3)="Low","Verify address",IF($G457="Needs review","Needs premise review",IF($X457="Estimated","Ready - address estimated","Ready"))))))</f>
        <v>Hold - low volume</v>
      </c>
      <c r="P457" s="5"/>
      <c r="Q457" s="5" t="s">
        <v>36</v>
      </c>
      <c r="R457" s="5"/>
      <c r="S457" s="5"/>
      <c r="T457" s="7"/>
      <c r="U457" s="7"/>
      <c r="V457" s="5"/>
      <c r="W457" s="5"/>
      <c r="X457" s="5" t="s">
        <v>37</v>
      </c>
      <c r="Y457" s="8" t="str">
        <f aca="false">IF($C457&lt;&gt;"",TRIM($C457&amp;", "&amp;$D457&amp;", "&amp;$E457&amp;" "&amp;$F457),IF($R457&lt;&gt;"",$R457,IF($D457&lt;&gt;"",$D457&amp;", "&amp;$E457,$I457)))</f>
        <v>342 E Main St, Blue Ridge, GA 30513</v>
      </c>
    </row>
    <row r="458" customFormat="false" ht="15" hidden="false" customHeight="true" outlineLevel="0" collapsed="false">
      <c r="A458" s="5" t="s">
        <v>1479</v>
      </c>
      <c r="B458" s="5" t="s">
        <v>1480</v>
      </c>
      <c r="C458" s="5" t="s">
        <v>1481</v>
      </c>
      <c r="D458" s="5" t="s">
        <v>1482</v>
      </c>
      <c r="E458" s="5" t="s">
        <v>29</v>
      </c>
      <c r="F458" s="5" t="s">
        <v>1483</v>
      </c>
      <c r="G458" s="5" t="s">
        <v>31</v>
      </c>
      <c r="H458" s="5" t="s">
        <v>32</v>
      </c>
      <c r="I458" s="5" t="s">
        <v>33</v>
      </c>
      <c r="J458" s="6" t="n">
        <v>0.33</v>
      </c>
      <c r="K458" s="5" t="s">
        <v>76</v>
      </c>
      <c r="L458" s="5" t="n">
        <f aca="false">IF($K458="",0,LEN($K458)-LEN(SUBSTITUTE($K458,",",""))+1)</f>
        <v>1</v>
      </c>
      <c r="M458" s="5" t="s">
        <v>35</v>
      </c>
      <c r="N458" s="5" t="str">
        <f aca="false">TRIM($A458&amp;" "&amp;IF($C458="",$R458,$C458&amp;" "&amp;$D458&amp;" "&amp;$E458&amp;" "&amp;$F458))</f>
        <v>Dollar General #4186 6064 Joe Frank Harris Pkwy NW Adairsville GA 30103</v>
      </c>
      <c r="O458" s="5" t="str">
        <f aca="false">IF($P458&lt;&gt;"","Exclude",IF(AND($M458&lt;&gt;"Full address",$R458=""),"Needs address",IF($J458&lt;0.5,"Hold - low volume",IF(LEFT($W458,3)="Low","Verify address",IF($G458="Needs review","Needs premise review",IF($X458="Estimated","Ready - address estimated","Ready"))))))</f>
        <v>Hold - low volume</v>
      </c>
      <c r="P458" s="5"/>
      <c r="Q458" s="5" t="s">
        <v>36</v>
      </c>
      <c r="R458" s="5"/>
      <c r="S458" s="5"/>
      <c r="T458" s="7"/>
      <c r="U458" s="7"/>
      <c r="V458" s="5"/>
      <c r="W458" s="5"/>
      <c r="X458" s="5" t="s">
        <v>37</v>
      </c>
      <c r="Y458" s="8" t="str">
        <f aca="false">IF($C458&lt;&gt;"",TRIM($C458&amp;", "&amp;$D458&amp;", "&amp;$E458&amp;" "&amp;$F458),IF($R458&lt;&gt;"",$R458,IF($D458&lt;&gt;"",$D458&amp;", "&amp;$E458,$I458)))</f>
        <v>6064 Joe Frank Harris Pkwy NW, Adairsville, GA 30103</v>
      </c>
    </row>
    <row r="459" customFormat="false" ht="15" hidden="false" customHeight="true" outlineLevel="0" collapsed="false">
      <c r="A459" s="5" t="s">
        <v>1484</v>
      </c>
      <c r="B459" s="5" t="s">
        <v>1485</v>
      </c>
      <c r="C459" s="5" t="s">
        <v>1486</v>
      </c>
      <c r="D459" s="5" t="s">
        <v>1487</v>
      </c>
      <c r="E459" s="5" t="s">
        <v>29</v>
      </c>
      <c r="F459" s="5" t="s">
        <v>1488</v>
      </c>
      <c r="G459" s="5" t="s">
        <v>377</v>
      </c>
      <c r="H459" s="5" t="s">
        <v>32</v>
      </c>
      <c r="I459" s="5" t="s">
        <v>33</v>
      </c>
      <c r="J459" s="6" t="n">
        <v>0.33</v>
      </c>
      <c r="K459" s="5" t="s">
        <v>426</v>
      </c>
      <c r="L459" s="5" t="n">
        <f aca="false">IF($K459="",0,LEN($K459)-LEN(SUBSTITUTE($K459,",",""))+1)</f>
        <v>1</v>
      </c>
      <c r="M459" s="5" t="s">
        <v>35</v>
      </c>
      <c r="N459" s="5" t="str">
        <f aca="false">TRIM($A459&amp;" "&amp;IF($C459="",$R459,$C459&amp;" "&amp;$D459&amp;" "&amp;$E459&amp;" "&amp;$F459))</f>
        <v>La Cantina on Main 210 E Main St Canton GA 30114</v>
      </c>
      <c r="O459" s="5" t="str">
        <f aca="false">IF($P459&lt;&gt;"","Exclude",IF(AND($M459&lt;&gt;"Full address",$R459=""),"Needs address",IF($J459&lt;0.5,"Hold - low volume",IF(LEFT($W459,3)="Low","Verify address",IF($G459="Needs review","Needs premise review",IF($X459="Estimated","Ready - address estimated","Ready"))))))</f>
        <v>Hold - low volume</v>
      </c>
      <c r="P459" s="5"/>
      <c r="Q459" s="5" t="s">
        <v>36</v>
      </c>
      <c r="R459" s="5"/>
      <c r="S459" s="5"/>
      <c r="T459" s="7"/>
      <c r="U459" s="7"/>
      <c r="V459" s="5"/>
      <c r="W459" s="5"/>
      <c r="X459" s="5" t="s">
        <v>37</v>
      </c>
      <c r="Y459" s="8" t="str">
        <f aca="false">IF($C459&lt;&gt;"",TRIM($C459&amp;", "&amp;$D459&amp;", "&amp;$E459&amp;" "&amp;$F459),IF($R459&lt;&gt;"",$R459,IF($D459&lt;&gt;"",$D459&amp;", "&amp;$E459,$I459)))</f>
        <v>210 E Main St, Canton, GA 30114</v>
      </c>
    </row>
    <row r="460" customFormat="false" ht="15" hidden="false" customHeight="true" outlineLevel="0" collapsed="false">
      <c r="A460" s="5" t="s">
        <v>1489</v>
      </c>
      <c r="B460" s="5" t="s">
        <v>1490</v>
      </c>
      <c r="C460" s="5" t="s">
        <v>1491</v>
      </c>
      <c r="D460" s="5" t="s">
        <v>1492</v>
      </c>
      <c r="E460" s="5" t="s">
        <v>29</v>
      </c>
      <c r="F460" s="5" t="s">
        <v>1493</v>
      </c>
      <c r="G460" s="5" t="s">
        <v>31</v>
      </c>
      <c r="H460" s="5" t="s">
        <v>32</v>
      </c>
      <c r="I460" s="5" t="s">
        <v>33</v>
      </c>
      <c r="J460" s="6" t="n">
        <v>0.33</v>
      </c>
      <c r="K460" s="5" t="s">
        <v>426</v>
      </c>
      <c r="L460" s="5" t="n">
        <f aca="false">IF($K460="",0,LEN($K460)-LEN(SUBSTITUTE($K460,",",""))+1)</f>
        <v>1</v>
      </c>
      <c r="M460" s="5" t="s">
        <v>35</v>
      </c>
      <c r="N460" s="5" t="str">
        <f aca="false">TRIM($A460&amp;" "&amp;IF($C460="",$R460,$C460&amp;" "&amp;$D460&amp;" "&amp;$E460&amp;" "&amp;$F460))</f>
        <v>Peach State Bottle Shop 3260 Maysville Rd. Commerce GA 30529</v>
      </c>
      <c r="O460" s="5" t="str">
        <f aca="false">IF($P460&lt;&gt;"","Exclude",IF(AND($M460&lt;&gt;"Full address",$R460=""),"Needs address",IF($J460&lt;0.5,"Hold - low volume",IF(LEFT($W460,3)="Low","Verify address",IF($G460="Needs review","Needs premise review",IF($X460="Estimated","Ready - address estimated","Ready"))))))</f>
        <v>Hold - low volume</v>
      </c>
      <c r="P460" s="5"/>
      <c r="Q460" s="5" t="s">
        <v>36</v>
      </c>
      <c r="R460" s="5"/>
      <c r="S460" s="5"/>
      <c r="T460" s="7"/>
      <c r="U460" s="7"/>
      <c r="V460" s="5"/>
      <c r="W460" s="5"/>
      <c r="X460" s="5" t="s">
        <v>37</v>
      </c>
      <c r="Y460" s="8" t="str">
        <f aca="false">IF($C460&lt;&gt;"",TRIM($C460&amp;", "&amp;$D460&amp;", "&amp;$E460&amp;" "&amp;$F460),IF($R460&lt;&gt;"",$R460,IF($D460&lt;&gt;"",$D460&amp;", "&amp;$E460,$I460)))</f>
        <v>3260 Maysville Rd., Commerce, GA 30529</v>
      </c>
    </row>
    <row r="461" customFormat="false" ht="15" hidden="false" customHeight="true" outlineLevel="0" collapsed="false">
      <c r="A461" s="5" t="s">
        <v>1494</v>
      </c>
      <c r="B461" s="5" t="s">
        <v>1495</v>
      </c>
      <c r="C461" s="5" t="s">
        <v>1496</v>
      </c>
      <c r="D461" s="5" t="s">
        <v>1497</v>
      </c>
      <c r="E461" s="5" t="s">
        <v>29</v>
      </c>
      <c r="F461" s="5" t="s">
        <v>1498</v>
      </c>
      <c r="G461" s="5" t="s">
        <v>31</v>
      </c>
      <c r="H461" s="5" t="s">
        <v>32</v>
      </c>
      <c r="I461" s="5" t="s">
        <v>33</v>
      </c>
      <c r="J461" s="6" t="n">
        <v>0.33</v>
      </c>
      <c r="K461" s="5" t="s">
        <v>76</v>
      </c>
      <c r="L461" s="5" t="n">
        <f aca="false">IF($K461="",0,LEN($K461)-LEN(SUBSTITUTE($K461,",",""))+1)</f>
        <v>1</v>
      </c>
      <c r="M461" s="5" t="s">
        <v>35</v>
      </c>
      <c r="N461" s="5" t="str">
        <f aca="false">TRIM($A461&amp;" "&amp;IF($C461="",$R461,$C461&amp;" "&amp;$D461&amp;" "&amp;$E461&amp;" "&amp;$F461))</f>
        <v>Westside Bottle Shop #4 3685 Atlanta Hwy Athens GA 30606</v>
      </c>
      <c r="O461" s="5" t="str">
        <f aca="false">IF($P461&lt;&gt;"","Exclude",IF(AND($M461&lt;&gt;"Full address",$R461=""),"Needs address",IF($J461&lt;0.5,"Hold - low volume",IF(LEFT($W461,3)="Low","Verify address",IF($G461="Needs review","Needs premise review",IF($X461="Estimated","Ready - address estimated","Ready"))))))</f>
        <v>Hold - low volume</v>
      </c>
      <c r="P461" s="5"/>
      <c r="Q461" s="5" t="s">
        <v>36</v>
      </c>
      <c r="R461" s="5"/>
      <c r="S461" s="5"/>
      <c r="T461" s="7"/>
      <c r="U461" s="7"/>
      <c r="V461" s="5"/>
      <c r="W461" s="5"/>
      <c r="X461" s="5" t="s">
        <v>37</v>
      </c>
      <c r="Y461" s="8" t="str">
        <f aca="false">IF($C461&lt;&gt;"",TRIM($C461&amp;", "&amp;$D461&amp;", "&amp;$E461&amp;" "&amp;$F461),IF($R461&lt;&gt;"",$R461,IF($D461&lt;&gt;"",$D461&amp;", "&amp;$E461,$I461)))</f>
        <v>3685 Atlanta Hwy, Athens, GA 30606</v>
      </c>
    </row>
    <row r="462" customFormat="false" ht="15" hidden="false" customHeight="true" outlineLevel="0" collapsed="false">
      <c r="A462" s="5" t="s">
        <v>1499</v>
      </c>
      <c r="B462" s="5" t="s">
        <v>1500</v>
      </c>
      <c r="C462" s="5" t="s">
        <v>1501</v>
      </c>
      <c r="D462" s="5" t="s">
        <v>483</v>
      </c>
      <c r="E462" s="5" t="s">
        <v>484</v>
      </c>
      <c r="F462" s="5" t="s">
        <v>1502</v>
      </c>
      <c r="G462" s="5" t="s">
        <v>144</v>
      </c>
      <c r="H462" s="5" t="s">
        <v>486</v>
      </c>
      <c r="I462" s="5" t="s">
        <v>487</v>
      </c>
      <c r="J462" s="6" t="n">
        <v>0.33</v>
      </c>
      <c r="K462" s="5" t="s">
        <v>76</v>
      </c>
      <c r="L462" s="5" t="n">
        <f aca="false">IF($K462="",0,LEN($K462)-LEN(SUBSTITUTE($K462,",",""))+1)</f>
        <v>1</v>
      </c>
      <c r="M462" s="5" t="s">
        <v>35</v>
      </c>
      <c r="N462" s="5" t="str">
        <f aca="false">TRIM($A462&amp;" "&amp;IF($C462="",$R462,$C462&amp;" "&amp;$D462&amp;" "&amp;$E462&amp;" "&amp;$F462))</f>
        <v>1337 N Ridge Rd 1337 n 1337 N Ridge Rd Wichita KS 67212</v>
      </c>
      <c r="O462" s="5" t="str">
        <f aca="false">IF($P462&lt;&gt;"","Exclude",IF(AND($M462&lt;&gt;"Full address",$R462=""),"Needs address",IF($J462&lt;0.5,"Hold - low volume",IF(LEFT($W462,3)="Low","Verify address",IF($G462="Needs review","Needs premise review",IF($X462="Estimated","Ready - address estimated","Ready"))))))</f>
        <v>Hold - low volume</v>
      </c>
      <c r="P462" s="5"/>
      <c r="Q462" s="5" t="s">
        <v>488</v>
      </c>
      <c r="R462" s="5"/>
      <c r="S462" s="5"/>
      <c r="T462" s="7"/>
      <c r="U462" s="7"/>
      <c r="V462" s="5"/>
      <c r="W462" s="5"/>
      <c r="X462" s="5" t="s">
        <v>37</v>
      </c>
      <c r="Y462" s="8" t="str">
        <f aca="false">IF($C462&lt;&gt;"",TRIM($C462&amp;", "&amp;$D462&amp;", "&amp;$E462&amp;" "&amp;$F462),IF($R462&lt;&gt;"",$R462,IF($D462&lt;&gt;"",$D462&amp;", "&amp;$E462,$I462)))</f>
        <v>1337 N Ridge Rd, Wichita, KS 67212</v>
      </c>
    </row>
    <row r="463" customFormat="false" ht="15" hidden="false" customHeight="true" outlineLevel="0" collapsed="false">
      <c r="A463" s="5" t="s">
        <v>1503</v>
      </c>
      <c r="B463" s="5" t="s">
        <v>1504</v>
      </c>
      <c r="C463" s="5" t="s">
        <v>1505</v>
      </c>
      <c r="D463" s="5" t="s">
        <v>1506</v>
      </c>
      <c r="E463" s="5" t="s">
        <v>484</v>
      </c>
      <c r="F463" s="5" t="s">
        <v>1507</v>
      </c>
      <c r="G463" s="5" t="s">
        <v>31</v>
      </c>
      <c r="H463" s="5" t="s">
        <v>486</v>
      </c>
      <c r="I463" s="5" t="s">
        <v>487</v>
      </c>
      <c r="J463" s="6" t="n">
        <v>0.33</v>
      </c>
      <c r="K463" s="5" t="s">
        <v>426</v>
      </c>
      <c r="L463" s="5" t="n">
        <f aca="false">IF($K463="",0,LEN($K463)-LEN(SUBSTITUTE($K463,",",""))+1)</f>
        <v>1</v>
      </c>
      <c r="M463" s="5" t="s">
        <v>35</v>
      </c>
      <c r="N463" s="5" t="str">
        <f aca="false">TRIM($A463&amp;" "&amp;IF($C463="",$R463,$C463&amp;" "&amp;$D463&amp;" "&amp;$E463&amp;" "&amp;$F463))</f>
        <v>Newton Discount Liquor 1225 Washington Rd Newton KS 67114</v>
      </c>
      <c r="O463" s="5" t="str">
        <f aca="false">IF($P463&lt;&gt;"","Exclude",IF(AND($M463&lt;&gt;"Full address",$R463=""),"Needs address",IF($J463&lt;0.5,"Hold - low volume",IF(LEFT($W463,3)="Low","Verify address",IF($G463="Needs review","Needs premise review",IF($X463="Estimated","Ready - address estimated","Ready"))))))</f>
        <v>Hold - low volume</v>
      </c>
      <c r="P463" s="5"/>
      <c r="Q463" s="5" t="s">
        <v>488</v>
      </c>
      <c r="R463" s="5"/>
      <c r="S463" s="5"/>
      <c r="T463" s="7"/>
      <c r="U463" s="7"/>
      <c r="V463" s="5"/>
      <c r="W463" s="5"/>
      <c r="X463" s="5" t="s">
        <v>37</v>
      </c>
      <c r="Y463" s="8" t="str">
        <f aca="false">IF($C463&lt;&gt;"",TRIM($C463&amp;", "&amp;$D463&amp;", "&amp;$E463&amp;" "&amp;$F463),IF($R463&lt;&gt;"",$R463,IF($D463&lt;&gt;"",$D463&amp;", "&amp;$E463,$I463)))</f>
        <v>1225 Washington Rd, Newton, KS 67114</v>
      </c>
    </row>
    <row r="464" customFormat="false" ht="15" hidden="false" customHeight="true" outlineLevel="0" collapsed="false">
      <c r="A464" s="5" t="s">
        <v>1508</v>
      </c>
      <c r="B464" s="5" t="s">
        <v>1509</v>
      </c>
      <c r="C464" s="5" t="s">
        <v>1510</v>
      </c>
      <c r="D464" s="5" t="s">
        <v>492</v>
      </c>
      <c r="E464" s="5" t="s">
        <v>493</v>
      </c>
      <c r="F464" s="5" t="s">
        <v>1511</v>
      </c>
      <c r="G464" s="5" t="s">
        <v>144</v>
      </c>
      <c r="H464" s="5" t="s">
        <v>495</v>
      </c>
      <c r="I464" s="5" t="s">
        <v>496</v>
      </c>
      <c r="J464" s="6" t="n">
        <v>0.33</v>
      </c>
      <c r="K464" s="5" t="s">
        <v>76</v>
      </c>
      <c r="L464" s="5" t="n">
        <f aca="false">IF($K464="",0,LEN($K464)-LEN(SUBSTITUTE($K464,",",""))+1)</f>
        <v>1</v>
      </c>
      <c r="M464" s="5" t="s">
        <v>35</v>
      </c>
      <c r="N464" s="5" t="str">
        <f aca="false">TRIM($A464&amp;" "&amp;IF($C464="",$R464,$C464&amp;" "&amp;$D464&amp;" "&amp;$E464&amp;" "&amp;$F464))</f>
        <v>The Drawing Board 4123 Chippewa St St. Louis MO 63116</v>
      </c>
      <c r="O464" s="5" t="str">
        <f aca="false">IF($P464&lt;&gt;"","Exclude",IF(AND($M464&lt;&gt;"Full address",$R464=""),"Needs address",IF($J464&lt;0.5,"Hold - low volume",IF(LEFT($W464,3)="Low","Verify address",IF($G464="Needs review","Needs premise review",IF($X464="Estimated","Ready - address estimated","Ready"))))))</f>
        <v>Hold - low volume</v>
      </c>
      <c r="P464" s="5"/>
      <c r="Q464" s="5" t="s">
        <v>498</v>
      </c>
      <c r="R464" s="5"/>
      <c r="S464" s="5"/>
      <c r="T464" s="7"/>
      <c r="U464" s="7"/>
      <c r="V464" s="5"/>
      <c r="W464" s="5"/>
      <c r="X464" s="5" t="s">
        <v>37</v>
      </c>
      <c r="Y464" s="8" t="str">
        <f aca="false">IF($C464&lt;&gt;"",TRIM($C464&amp;", "&amp;$D464&amp;", "&amp;$E464&amp;" "&amp;$F464),IF($R464&lt;&gt;"",$R464,IF($D464&lt;&gt;"",$D464&amp;", "&amp;$E464,$I464)))</f>
        <v>4123 Chippewa St, St. Louis, MO 63116</v>
      </c>
    </row>
    <row r="465" customFormat="false" ht="15" hidden="false" customHeight="true" outlineLevel="0" collapsed="false">
      <c r="A465" s="5" t="s">
        <v>1512</v>
      </c>
      <c r="B465" s="5" t="s">
        <v>1512</v>
      </c>
      <c r="C465" s="5"/>
      <c r="D465" s="5" t="s">
        <v>359</v>
      </c>
      <c r="E465" s="5" t="s">
        <v>40</v>
      </c>
      <c r="F465" s="5"/>
      <c r="G465" s="5" t="s">
        <v>31</v>
      </c>
      <c r="H465" s="5" t="s">
        <v>360</v>
      </c>
      <c r="I465" s="5" t="s">
        <v>42</v>
      </c>
      <c r="J465" s="6" t="n">
        <v>0.33</v>
      </c>
      <c r="K465" s="5" t="s">
        <v>76</v>
      </c>
      <c r="L465" s="5" t="n">
        <f aca="false">IF($K465="",0,LEN($K465)-LEN(SUBSTITUTE($K465,",",""))+1)</f>
        <v>1</v>
      </c>
      <c r="M465" s="5" t="s">
        <v>44</v>
      </c>
      <c r="N465" s="5" t="str">
        <f aca="false">TRIM($A465&amp;" "&amp;IF($C465="",$R465,$C465&amp;" "&amp;$D465&amp;" "&amp;$E465&amp;" "&amp;$F465))</f>
        <v>Liquor Bees</v>
      </c>
      <c r="O465" s="5" t="str">
        <f aca="false">IF($P465&lt;&gt;"","Exclude",IF(AND($M465&lt;&gt;"Full address",$R465=""),"Needs address",IF($J465&lt;0.5,"Hold - low volume",IF(LEFT($W465,3)="Low","Verify address",IF($G465="Needs review","Needs premise review",IF($X465="Estimated","Ready - address estimated","Ready"))))))</f>
        <v>Needs address</v>
      </c>
      <c r="P465" s="5"/>
      <c r="Q465" s="5" t="s">
        <v>45</v>
      </c>
      <c r="R465" s="5"/>
      <c r="S465" s="5"/>
      <c r="T465" s="7"/>
      <c r="U465" s="7"/>
      <c r="V465" s="5"/>
      <c r="W465" s="5"/>
      <c r="X465" s="5" t="s">
        <v>3</v>
      </c>
      <c r="Y465" s="8" t="str">
        <f aca="false">IF($C465&lt;&gt;"",TRIM($C465&amp;", "&amp;$D465&amp;", "&amp;$E465&amp;" "&amp;$F465),IF($R465&lt;&gt;"",$R465,IF($D465&lt;&gt;"",$D465&amp;", "&amp;$E465,$I465)))</f>
        <v>San Antonio, TX</v>
      </c>
    </row>
    <row r="466" customFormat="false" ht="15" hidden="false" customHeight="true" outlineLevel="0" collapsed="false">
      <c r="A466" s="5" t="s">
        <v>1513</v>
      </c>
      <c r="B466" s="5" t="s">
        <v>1513</v>
      </c>
      <c r="C466" s="5"/>
      <c r="D466" s="5" t="s">
        <v>1514</v>
      </c>
      <c r="E466" s="5" t="s">
        <v>40</v>
      </c>
      <c r="F466" s="5"/>
      <c r="G466" s="5" t="s">
        <v>144</v>
      </c>
      <c r="H466" s="5" t="s">
        <v>41</v>
      </c>
      <c r="I466" s="5" t="s">
        <v>42</v>
      </c>
      <c r="J466" s="6" t="n">
        <v>0.33</v>
      </c>
      <c r="K466" s="5" t="s">
        <v>76</v>
      </c>
      <c r="L466" s="5" t="n">
        <f aca="false">IF($K466="",0,LEN($K466)-LEN(SUBSTITUTE($K466,",",""))+1)</f>
        <v>1</v>
      </c>
      <c r="M466" s="5" t="s">
        <v>44</v>
      </c>
      <c r="N466" s="5" t="str">
        <f aca="false">TRIM($A466&amp;" "&amp;IF($C466="",$R466,$C466&amp;" "&amp;$D466&amp;" "&amp;$E466&amp;" "&amp;$F466))</f>
        <v>Raven Roost</v>
      </c>
      <c r="O466" s="5" t="str">
        <f aca="false">IF($P466&lt;&gt;"","Exclude",IF(AND($M466&lt;&gt;"Full address",$R466=""),"Needs address",IF($J466&lt;0.5,"Hold - low volume",IF(LEFT($W466,3)="Low","Verify address",IF($G466="Needs review","Needs premise review",IF($X466="Estimated","Ready - address estimated","Ready"))))))</f>
        <v>Needs address</v>
      </c>
      <c r="P466" s="5"/>
      <c r="Q466" s="5" t="s">
        <v>45</v>
      </c>
      <c r="R466" s="5"/>
      <c r="S466" s="5"/>
      <c r="T466" s="7"/>
      <c r="U466" s="7"/>
      <c r="V466" s="5"/>
      <c r="W466" s="5"/>
      <c r="X466" s="5" t="s">
        <v>3</v>
      </c>
      <c r="Y466" s="8" t="str">
        <f aca="false">IF($C466&lt;&gt;"",TRIM($C466&amp;", "&amp;$D466&amp;", "&amp;$E466&amp;" "&amp;$F466),IF($R466&lt;&gt;"",$R466,IF($D466&lt;&gt;"",$D466&amp;", "&amp;$E466,$I466)))</f>
        <v>Olney, TX</v>
      </c>
    </row>
    <row r="467" customFormat="false" ht="15" hidden="false" customHeight="true" outlineLevel="0" collapsed="false">
      <c r="A467" s="5" t="s">
        <v>1515</v>
      </c>
      <c r="B467" s="5" t="s">
        <v>1515</v>
      </c>
      <c r="C467" s="5"/>
      <c r="D467" s="5" t="s">
        <v>1516</v>
      </c>
      <c r="E467" s="5" t="s">
        <v>40</v>
      </c>
      <c r="F467" s="5"/>
      <c r="G467" s="5" t="s">
        <v>144</v>
      </c>
      <c r="H467" s="5" t="s">
        <v>157</v>
      </c>
      <c r="I467" s="5" t="s">
        <v>42</v>
      </c>
      <c r="J467" s="6" t="n">
        <v>0.33</v>
      </c>
      <c r="K467" s="5" t="s">
        <v>426</v>
      </c>
      <c r="L467" s="5" t="n">
        <f aca="false">IF($K467="",0,LEN($K467)-LEN(SUBSTITUTE($K467,",",""))+1)</f>
        <v>1</v>
      </c>
      <c r="M467" s="5" t="s">
        <v>44</v>
      </c>
      <c r="N467" s="5" t="str">
        <f aca="false">TRIM($A467&amp;" "&amp;IF($C467="",$R467,$C467&amp;" "&amp;$D467&amp;" "&amp;$E467&amp;" "&amp;$F467))</f>
        <v>Spec's #001 Kingwood</v>
      </c>
      <c r="O467" s="5" t="str">
        <f aca="false">IF($P467&lt;&gt;"","Exclude",IF(AND($M467&lt;&gt;"Full address",$R467=""),"Needs address",IF($J467&lt;0.5,"Hold - low volume",IF(LEFT($W467,3)="Low","Verify address",IF($G467="Needs review","Needs premise review",IF($X467="Estimated","Ready - address estimated","Ready"))))))</f>
        <v>Needs address</v>
      </c>
      <c r="P467" s="5"/>
      <c r="Q467" s="5" t="s">
        <v>45</v>
      </c>
      <c r="R467" s="5"/>
      <c r="S467" s="5"/>
      <c r="T467" s="7"/>
      <c r="U467" s="7"/>
      <c r="V467" s="5"/>
      <c r="W467" s="5"/>
      <c r="X467" s="5" t="s">
        <v>3</v>
      </c>
      <c r="Y467" s="8" t="str">
        <f aca="false">IF($C467&lt;&gt;"",TRIM($C467&amp;", "&amp;$D467&amp;", "&amp;$E467&amp;" "&amp;$F467),IF($R467&lt;&gt;"",$R467,IF($D467&lt;&gt;"",$D467&amp;", "&amp;$E467,$I467)))</f>
        <v>Kingwood, TX</v>
      </c>
    </row>
    <row r="468" customFormat="false" ht="15" hidden="false" customHeight="true" outlineLevel="0" collapsed="false">
      <c r="A468" s="5" t="s">
        <v>1517</v>
      </c>
      <c r="B468" s="5" t="s">
        <v>1517</v>
      </c>
      <c r="C468" s="5"/>
      <c r="D468" s="5" t="s">
        <v>855</v>
      </c>
      <c r="E468" s="5" t="s">
        <v>40</v>
      </c>
      <c r="F468" s="5"/>
      <c r="G468" s="5" t="s">
        <v>144</v>
      </c>
      <c r="H468" s="5" t="s">
        <v>157</v>
      </c>
      <c r="I468" s="5" t="s">
        <v>42</v>
      </c>
      <c r="J468" s="6" t="n">
        <v>0.33</v>
      </c>
      <c r="K468" s="5" t="s">
        <v>469</v>
      </c>
      <c r="L468" s="5" t="n">
        <f aca="false">IF($K468="",0,LEN($K468)-LEN(SUBSTITUTE($K468,",",""))+1)</f>
        <v>1</v>
      </c>
      <c r="M468" s="5" t="s">
        <v>44</v>
      </c>
      <c r="N468" s="5" t="str">
        <f aca="false">TRIM($A468&amp;" "&amp;IF($C468="",$R468,$C468&amp;" "&amp;$D468&amp;" "&amp;$E468&amp;" "&amp;$F468))</f>
        <v>Spec's #012 Memorial</v>
      </c>
      <c r="O468" s="5" t="str">
        <f aca="false">IF($P468&lt;&gt;"","Exclude",IF(AND($M468&lt;&gt;"Full address",$R468=""),"Needs address",IF($J468&lt;0.5,"Hold - low volume",IF(LEFT($W468,3)="Low","Verify address",IF($G468="Needs review","Needs premise review",IF($X468="Estimated","Ready - address estimated","Ready"))))))</f>
        <v>Needs address</v>
      </c>
      <c r="P468" s="5"/>
      <c r="Q468" s="5" t="s">
        <v>45</v>
      </c>
      <c r="R468" s="5"/>
      <c r="S468" s="5"/>
      <c r="T468" s="7"/>
      <c r="U468" s="7"/>
      <c r="V468" s="5"/>
      <c r="W468" s="5"/>
      <c r="X468" s="5" t="s">
        <v>3</v>
      </c>
      <c r="Y468" s="8" t="str">
        <f aca="false">IF($C468&lt;&gt;"",TRIM($C468&amp;", "&amp;$D468&amp;", "&amp;$E468&amp;" "&amp;$F468),IF($R468&lt;&gt;"",$R468,IF($D468&lt;&gt;"",$D468&amp;", "&amp;$E468,$I468)))</f>
        <v>Houston, TX</v>
      </c>
    </row>
    <row r="469" customFormat="false" ht="15" hidden="false" customHeight="true" outlineLevel="0" collapsed="false">
      <c r="A469" s="5" t="s">
        <v>1518</v>
      </c>
      <c r="B469" s="5" t="s">
        <v>1518</v>
      </c>
      <c r="C469" s="5"/>
      <c r="D469" s="5" t="s">
        <v>1519</v>
      </c>
      <c r="E469" s="5" t="s">
        <v>40</v>
      </c>
      <c r="F469" s="5"/>
      <c r="G469" s="5" t="s">
        <v>144</v>
      </c>
      <c r="H469" s="5" t="s">
        <v>157</v>
      </c>
      <c r="I469" s="5" t="s">
        <v>42</v>
      </c>
      <c r="J469" s="6" t="n">
        <v>0.33</v>
      </c>
      <c r="K469" s="5" t="s">
        <v>76</v>
      </c>
      <c r="L469" s="5" t="n">
        <f aca="false">IF($K469="",0,LEN($K469)-LEN(SUBSTITUTE($K469,",",""))+1)</f>
        <v>1</v>
      </c>
      <c r="M469" s="5" t="s">
        <v>44</v>
      </c>
      <c r="N469" s="5" t="str">
        <f aca="false">TRIM($A469&amp;" "&amp;IF($C469="",$R469,$C469&amp;" "&amp;$D469&amp;" "&amp;$E469&amp;" "&amp;$F469))</f>
        <v>Spec's #036 Baytown</v>
      </c>
      <c r="O469" s="5" t="str">
        <f aca="false">IF($P469&lt;&gt;"","Exclude",IF(AND($M469&lt;&gt;"Full address",$R469=""),"Needs address",IF($J469&lt;0.5,"Hold - low volume",IF(LEFT($W469,3)="Low","Verify address",IF($G469="Needs review","Needs premise review",IF($X469="Estimated","Ready - address estimated","Ready"))))))</f>
        <v>Needs address</v>
      </c>
      <c r="P469" s="5"/>
      <c r="Q469" s="5" t="s">
        <v>45</v>
      </c>
      <c r="R469" s="5"/>
      <c r="S469" s="5"/>
      <c r="T469" s="7"/>
      <c r="U469" s="7"/>
      <c r="V469" s="5"/>
      <c r="W469" s="5"/>
      <c r="X469" s="5" t="s">
        <v>3</v>
      </c>
      <c r="Y469" s="8" t="str">
        <f aca="false">IF($C469&lt;&gt;"",TRIM($C469&amp;", "&amp;$D469&amp;", "&amp;$E469&amp;" "&amp;$F469),IF($R469&lt;&gt;"",$R469,IF($D469&lt;&gt;"",$D469&amp;", "&amp;$E469,$I469)))</f>
        <v>Baytown, TX</v>
      </c>
    </row>
    <row r="470" customFormat="false" ht="15" hidden="false" customHeight="true" outlineLevel="0" collapsed="false">
      <c r="A470" s="5" t="s">
        <v>1520</v>
      </c>
      <c r="B470" s="5" t="s">
        <v>1520</v>
      </c>
      <c r="C470" s="5"/>
      <c r="D470" s="5" t="s">
        <v>1521</v>
      </c>
      <c r="E470" s="5" t="s">
        <v>40</v>
      </c>
      <c r="F470" s="5"/>
      <c r="G470" s="5" t="s">
        <v>144</v>
      </c>
      <c r="H470" s="5" t="s">
        <v>360</v>
      </c>
      <c r="I470" s="5" t="s">
        <v>42</v>
      </c>
      <c r="J470" s="6" t="n">
        <v>0.33</v>
      </c>
      <c r="K470" s="5" t="s">
        <v>426</v>
      </c>
      <c r="L470" s="5" t="n">
        <f aca="false">IF($K470="",0,LEN($K470)-LEN(SUBSTITUTE($K470,",",""))+1)</f>
        <v>1</v>
      </c>
      <c r="M470" s="5" t="s">
        <v>44</v>
      </c>
      <c r="N470" s="5" t="str">
        <f aca="false">TRIM($A470&amp;" "&amp;IF($C470="",$R470,$C470&amp;" "&amp;$D470&amp;" "&amp;$E470&amp;" "&amp;$F470))</f>
        <v>Spec's #038 Bastrop</v>
      </c>
      <c r="O470" s="5" t="str">
        <f aca="false">IF($P470&lt;&gt;"","Exclude",IF(AND($M470&lt;&gt;"Full address",$R470=""),"Needs address",IF($J470&lt;0.5,"Hold - low volume",IF(LEFT($W470,3)="Low","Verify address",IF($G470="Needs review","Needs premise review",IF($X470="Estimated","Ready - address estimated","Ready"))))))</f>
        <v>Needs address</v>
      </c>
      <c r="P470" s="5"/>
      <c r="Q470" s="5" t="s">
        <v>45</v>
      </c>
      <c r="R470" s="5"/>
      <c r="S470" s="5"/>
      <c r="T470" s="7"/>
      <c r="U470" s="7"/>
      <c r="V470" s="5"/>
      <c r="W470" s="5"/>
      <c r="X470" s="5" t="s">
        <v>3</v>
      </c>
      <c r="Y470" s="8" t="str">
        <f aca="false">IF($C470&lt;&gt;"",TRIM($C470&amp;", "&amp;$D470&amp;", "&amp;$E470&amp;" "&amp;$F470),IF($R470&lt;&gt;"",$R470,IF($D470&lt;&gt;"",$D470&amp;", "&amp;$E470,$I470)))</f>
        <v>Bastrop, TX</v>
      </c>
    </row>
    <row r="471" customFormat="false" ht="15" hidden="false" customHeight="true" outlineLevel="0" collapsed="false">
      <c r="A471" s="5" t="s">
        <v>1522</v>
      </c>
      <c r="B471" s="5" t="s">
        <v>1522</v>
      </c>
      <c r="C471" s="5"/>
      <c r="D471" s="5" t="s">
        <v>1374</v>
      </c>
      <c r="E471" s="5" t="s">
        <v>40</v>
      </c>
      <c r="F471" s="5"/>
      <c r="G471" s="5" t="s">
        <v>144</v>
      </c>
      <c r="H471" s="5" t="s">
        <v>360</v>
      </c>
      <c r="I471" s="5" t="s">
        <v>42</v>
      </c>
      <c r="J471" s="6" t="n">
        <v>0.33</v>
      </c>
      <c r="K471" s="5" t="s">
        <v>469</v>
      </c>
      <c r="L471" s="5" t="n">
        <f aca="false">IF($K471="",0,LEN($K471)-LEN(SUBSTITUTE($K471,",",""))+1)</f>
        <v>1</v>
      </c>
      <c r="M471" s="5" t="s">
        <v>44</v>
      </c>
      <c r="N471" s="5" t="str">
        <f aca="false">TRIM($A471&amp;" "&amp;IF($C471="",$R471,$C471&amp;" "&amp;$D471&amp;" "&amp;$E471&amp;" "&amp;$F471))</f>
        <v>Spec's #061 Brodie Lane</v>
      </c>
      <c r="O471" s="5" t="str">
        <f aca="false">IF($P471&lt;&gt;"","Exclude",IF(AND($M471&lt;&gt;"Full address",$R471=""),"Needs address",IF($J471&lt;0.5,"Hold - low volume",IF(LEFT($W471,3)="Low","Verify address",IF($G471="Needs review","Needs premise review",IF($X471="Estimated","Ready - address estimated","Ready"))))))</f>
        <v>Needs address</v>
      </c>
      <c r="P471" s="5"/>
      <c r="Q471" s="5" t="s">
        <v>45</v>
      </c>
      <c r="R471" s="5"/>
      <c r="S471" s="5"/>
      <c r="T471" s="7"/>
      <c r="U471" s="7"/>
      <c r="V471" s="5"/>
      <c r="W471" s="5"/>
      <c r="X471" s="5" t="s">
        <v>3</v>
      </c>
      <c r="Y471" s="8" t="str">
        <f aca="false">IF($C471&lt;&gt;"",TRIM($C471&amp;", "&amp;$D471&amp;", "&amp;$E471&amp;" "&amp;$F471),IF($R471&lt;&gt;"",$R471,IF($D471&lt;&gt;"",$D471&amp;", "&amp;$E471,$I471)))</f>
        <v>Austin, TX</v>
      </c>
    </row>
    <row r="472" customFormat="false" ht="15" hidden="false" customHeight="true" outlineLevel="0" collapsed="false">
      <c r="A472" s="5" t="s">
        <v>1523</v>
      </c>
      <c r="B472" s="5" t="s">
        <v>1523</v>
      </c>
      <c r="C472" s="5"/>
      <c r="D472" s="5" t="s">
        <v>1374</v>
      </c>
      <c r="E472" s="5" t="s">
        <v>40</v>
      </c>
      <c r="F472" s="5"/>
      <c r="G472" s="5" t="s">
        <v>144</v>
      </c>
      <c r="H472" s="5" t="s">
        <v>360</v>
      </c>
      <c r="I472" s="5" t="s">
        <v>42</v>
      </c>
      <c r="J472" s="6" t="n">
        <v>0.33</v>
      </c>
      <c r="K472" s="5" t="s">
        <v>469</v>
      </c>
      <c r="L472" s="5" t="n">
        <f aca="false">IF($K472="",0,LEN($K472)-LEN(SUBSTITUTE($K472,",",""))+1)</f>
        <v>1</v>
      </c>
      <c r="M472" s="5" t="s">
        <v>44</v>
      </c>
      <c r="N472" s="5" t="str">
        <f aca="false">TRIM($A472&amp;" "&amp;IF($C472="",$R472,$C472&amp;" "&amp;$D472&amp;" "&amp;$E472&amp;" "&amp;$F472))</f>
        <v>Spec's #064 Southpark Meadows</v>
      </c>
      <c r="O472" s="5" t="str">
        <f aca="false">IF($P472&lt;&gt;"","Exclude",IF(AND($M472&lt;&gt;"Full address",$R472=""),"Needs address",IF($J472&lt;0.5,"Hold - low volume",IF(LEFT($W472,3)="Low","Verify address",IF($G472="Needs review","Needs premise review",IF($X472="Estimated","Ready - address estimated","Ready"))))))</f>
        <v>Needs address</v>
      </c>
      <c r="P472" s="5"/>
      <c r="Q472" s="5" t="s">
        <v>45</v>
      </c>
      <c r="R472" s="5"/>
      <c r="S472" s="5"/>
      <c r="T472" s="7"/>
      <c r="U472" s="7"/>
      <c r="V472" s="5"/>
      <c r="W472" s="5"/>
      <c r="X472" s="5" t="s">
        <v>3</v>
      </c>
      <c r="Y472" s="8" t="str">
        <f aca="false">IF($C472&lt;&gt;"",TRIM($C472&amp;", "&amp;$D472&amp;", "&amp;$E472&amp;" "&amp;$F472),IF($R472&lt;&gt;"",$R472,IF($D472&lt;&gt;"",$D472&amp;", "&amp;$E472,$I472)))</f>
        <v>Austin, TX</v>
      </c>
    </row>
    <row r="473" customFormat="false" ht="15" hidden="false" customHeight="true" outlineLevel="0" collapsed="false">
      <c r="A473" s="5" t="s">
        <v>1524</v>
      </c>
      <c r="B473" s="5" t="s">
        <v>1524</v>
      </c>
      <c r="C473" s="5"/>
      <c r="D473" s="5" t="s">
        <v>1525</v>
      </c>
      <c r="E473" s="5" t="s">
        <v>40</v>
      </c>
      <c r="F473" s="5"/>
      <c r="G473" s="5" t="s">
        <v>144</v>
      </c>
      <c r="H473" s="5" t="s">
        <v>360</v>
      </c>
      <c r="I473" s="5" t="s">
        <v>42</v>
      </c>
      <c r="J473" s="6" t="n">
        <v>0.33</v>
      </c>
      <c r="K473" s="5" t="s">
        <v>426</v>
      </c>
      <c r="L473" s="5" t="n">
        <f aca="false">IF($K473="",0,LEN($K473)-LEN(SUBSTITUTE($K473,",",""))+1)</f>
        <v>1</v>
      </c>
      <c r="M473" s="5" t="s">
        <v>44</v>
      </c>
      <c r="N473" s="5" t="str">
        <f aca="false">TRIM($A473&amp;" "&amp;IF($C473="",$R473,$C473&amp;" "&amp;$D473&amp;" "&amp;$E473&amp;" "&amp;$F473))</f>
        <v>Spec's #076 Elgin</v>
      </c>
      <c r="O473" s="5" t="str">
        <f aca="false">IF($P473&lt;&gt;"","Exclude",IF(AND($M473&lt;&gt;"Full address",$R473=""),"Needs address",IF($J473&lt;0.5,"Hold - low volume",IF(LEFT($W473,3)="Low","Verify address",IF($G473="Needs review","Needs premise review",IF($X473="Estimated","Ready - address estimated","Ready"))))))</f>
        <v>Needs address</v>
      </c>
      <c r="P473" s="5"/>
      <c r="Q473" s="5" t="s">
        <v>45</v>
      </c>
      <c r="R473" s="5"/>
      <c r="S473" s="5"/>
      <c r="T473" s="7"/>
      <c r="U473" s="7"/>
      <c r="V473" s="5"/>
      <c r="W473" s="5"/>
      <c r="X473" s="5" t="s">
        <v>3</v>
      </c>
      <c r="Y473" s="8" t="str">
        <f aca="false">IF($C473&lt;&gt;"",TRIM($C473&amp;", "&amp;$D473&amp;", "&amp;$E473&amp;" "&amp;$F473),IF($R473&lt;&gt;"",$R473,IF($D473&lt;&gt;"",$D473&amp;", "&amp;$E473,$I473)))</f>
        <v>Elgin, TX</v>
      </c>
    </row>
    <row r="474" customFormat="false" ht="15" hidden="false" customHeight="true" outlineLevel="0" collapsed="false">
      <c r="A474" s="5" t="s">
        <v>1526</v>
      </c>
      <c r="B474" s="5" t="s">
        <v>1526</v>
      </c>
      <c r="C474" s="5"/>
      <c r="D474" s="5" t="s">
        <v>1339</v>
      </c>
      <c r="E474" s="5" t="s">
        <v>40</v>
      </c>
      <c r="F474" s="5"/>
      <c r="G474" s="5" t="s">
        <v>144</v>
      </c>
      <c r="H474" s="5" t="s">
        <v>41</v>
      </c>
      <c r="I474" s="5" t="s">
        <v>42</v>
      </c>
      <c r="J474" s="6" t="n">
        <v>0.33</v>
      </c>
      <c r="K474" s="5" t="s">
        <v>76</v>
      </c>
      <c r="L474" s="5" t="n">
        <f aca="false">IF($K474="",0,LEN($K474)-LEN(SUBSTITUTE($K474,",",""))+1)</f>
        <v>1</v>
      </c>
      <c r="M474" s="5" t="s">
        <v>44</v>
      </c>
      <c r="N474" s="5" t="str">
        <f aca="false">TRIM($A474&amp;" "&amp;IF($C474="",$R474,$C474&amp;" "&amp;$D474&amp;" "&amp;$E474&amp;" "&amp;$F474))</f>
        <v>Spec's #080 Wichita Falls</v>
      </c>
      <c r="O474" s="5" t="str">
        <f aca="false">IF($P474&lt;&gt;"","Exclude",IF(AND($M474&lt;&gt;"Full address",$R474=""),"Needs address",IF($J474&lt;0.5,"Hold - low volume",IF(LEFT($W474,3)="Low","Verify address",IF($G474="Needs review","Needs premise review",IF($X474="Estimated","Ready - address estimated","Ready"))))))</f>
        <v>Needs address</v>
      </c>
      <c r="P474" s="5"/>
      <c r="Q474" s="5" t="s">
        <v>45</v>
      </c>
      <c r="R474" s="5"/>
      <c r="S474" s="5"/>
      <c r="T474" s="7"/>
      <c r="U474" s="7"/>
      <c r="V474" s="5"/>
      <c r="W474" s="5"/>
      <c r="X474" s="5" t="s">
        <v>3</v>
      </c>
      <c r="Y474" s="8" t="str">
        <f aca="false">IF($C474&lt;&gt;"",TRIM($C474&amp;", "&amp;$D474&amp;", "&amp;$E474&amp;" "&amp;$F474),IF($R474&lt;&gt;"",$R474,IF($D474&lt;&gt;"",$D474&amp;", "&amp;$E474,$I474)))</f>
        <v>Wichita Falls, TX</v>
      </c>
    </row>
    <row r="475" customFormat="false" ht="15" hidden="false" customHeight="true" outlineLevel="0" collapsed="false">
      <c r="A475" s="5" t="s">
        <v>1527</v>
      </c>
      <c r="B475" s="5" t="s">
        <v>1527</v>
      </c>
      <c r="C475" s="5"/>
      <c r="D475" s="5" t="s">
        <v>1350</v>
      </c>
      <c r="E475" s="5" t="s">
        <v>40</v>
      </c>
      <c r="F475" s="5"/>
      <c r="G475" s="5" t="s">
        <v>144</v>
      </c>
      <c r="H475" s="5" t="s">
        <v>360</v>
      </c>
      <c r="I475" s="5" t="s">
        <v>42</v>
      </c>
      <c r="J475" s="6" t="n">
        <v>0.33</v>
      </c>
      <c r="K475" s="5" t="s">
        <v>426</v>
      </c>
      <c r="L475" s="5" t="n">
        <f aca="false">IF($K475="",0,LEN($K475)-LEN(SUBSTITUTE($K475,",",""))+1)</f>
        <v>1</v>
      </c>
      <c r="M475" s="5" t="s">
        <v>44</v>
      </c>
      <c r="N475" s="5" t="str">
        <f aca="false">TRIM($A475&amp;" "&amp;IF($C475="",$R475,$C475&amp;" "&amp;$D475&amp;" "&amp;$E475&amp;" "&amp;$F475))</f>
        <v>Spec's #085 Express Flour Bluff</v>
      </c>
      <c r="O475" s="5" t="str">
        <f aca="false">IF($P475&lt;&gt;"","Exclude",IF(AND($M475&lt;&gt;"Full address",$R475=""),"Needs address",IF($J475&lt;0.5,"Hold - low volume",IF(LEFT($W475,3)="Low","Verify address",IF($G475="Needs review","Needs premise review",IF($X475="Estimated","Ready - address estimated","Ready"))))))</f>
        <v>Needs address</v>
      </c>
      <c r="P475" s="5"/>
      <c r="Q475" s="5" t="s">
        <v>45</v>
      </c>
      <c r="R475" s="5"/>
      <c r="S475" s="5"/>
      <c r="T475" s="7"/>
      <c r="U475" s="7"/>
      <c r="V475" s="5"/>
      <c r="W475" s="5"/>
      <c r="X475" s="5" t="s">
        <v>3</v>
      </c>
      <c r="Y475" s="8" t="str">
        <f aca="false">IF($C475&lt;&gt;"",TRIM($C475&amp;", "&amp;$D475&amp;", "&amp;$E475&amp;" "&amp;$F475),IF($R475&lt;&gt;"",$R475,IF($D475&lt;&gt;"",$D475&amp;", "&amp;$E475,$I475)))</f>
        <v>Corpus Christi, TX</v>
      </c>
    </row>
    <row r="476" customFormat="false" ht="15" hidden="false" customHeight="true" outlineLevel="0" collapsed="false">
      <c r="A476" s="5" t="s">
        <v>1528</v>
      </c>
      <c r="B476" s="5" t="s">
        <v>1528</v>
      </c>
      <c r="C476" s="5"/>
      <c r="D476" s="5" t="s">
        <v>1435</v>
      </c>
      <c r="E476" s="5" t="s">
        <v>40</v>
      </c>
      <c r="F476" s="5"/>
      <c r="G476" s="5" t="s">
        <v>144</v>
      </c>
      <c r="H476" s="5" t="s">
        <v>157</v>
      </c>
      <c r="I476" s="5" t="s">
        <v>42</v>
      </c>
      <c r="J476" s="6" t="n">
        <v>0.33</v>
      </c>
      <c r="K476" s="5" t="s">
        <v>426</v>
      </c>
      <c r="L476" s="5" t="n">
        <f aca="false">IF($K476="",0,LEN($K476)-LEN(SUBSTITUTE($K476,",",""))+1)</f>
        <v>1</v>
      </c>
      <c r="M476" s="5" t="s">
        <v>44</v>
      </c>
      <c r="N476" s="5" t="str">
        <f aca="false">TRIM($A476&amp;" "&amp;IF($C476="",$R476,$C476&amp;" "&amp;$D476&amp;" "&amp;$E476&amp;" "&amp;$F476))</f>
        <v>Spec's #089 Spring - Stuebner</v>
      </c>
      <c r="O476" s="5" t="str">
        <f aca="false">IF($P476&lt;&gt;"","Exclude",IF(AND($M476&lt;&gt;"Full address",$R476=""),"Needs address",IF($J476&lt;0.5,"Hold - low volume",IF(LEFT($W476,3)="Low","Verify address",IF($G476="Needs review","Needs premise review",IF($X476="Estimated","Ready - address estimated","Ready"))))))</f>
        <v>Needs address</v>
      </c>
      <c r="P476" s="5"/>
      <c r="Q476" s="5" t="s">
        <v>45</v>
      </c>
      <c r="R476" s="5"/>
      <c r="S476" s="5"/>
      <c r="T476" s="7"/>
      <c r="U476" s="7"/>
      <c r="V476" s="5"/>
      <c r="W476" s="5"/>
      <c r="X476" s="5" t="s">
        <v>3</v>
      </c>
      <c r="Y476" s="8" t="str">
        <f aca="false">IF($C476&lt;&gt;"",TRIM($C476&amp;", "&amp;$D476&amp;", "&amp;$E476&amp;" "&amp;$F476),IF($R476&lt;&gt;"",$R476,IF($D476&lt;&gt;"",$D476&amp;", "&amp;$E476,$I476)))</f>
        <v>Spring, TX</v>
      </c>
    </row>
    <row r="477" customFormat="false" ht="15" hidden="false" customHeight="true" outlineLevel="0" collapsed="false">
      <c r="A477" s="5" t="s">
        <v>1529</v>
      </c>
      <c r="B477" s="5" t="s">
        <v>1529</v>
      </c>
      <c r="C477" s="5"/>
      <c r="D477" s="5" t="s">
        <v>1530</v>
      </c>
      <c r="E477" s="5" t="s">
        <v>40</v>
      </c>
      <c r="F477" s="5"/>
      <c r="G477" s="5" t="s">
        <v>144</v>
      </c>
      <c r="H477" s="5" t="s">
        <v>157</v>
      </c>
      <c r="I477" s="5" t="s">
        <v>42</v>
      </c>
      <c r="J477" s="6" t="n">
        <v>0.33</v>
      </c>
      <c r="K477" s="5" t="s">
        <v>426</v>
      </c>
      <c r="L477" s="5" t="n">
        <f aca="false">IF($K477="",0,LEN($K477)-LEN(SUBSTITUTE($K477,",",""))+1)</f>
        <v>1</v>
      </c>
      <c r="M477" s="5" t="s">
        <v>44</v>
      </c>
      <c r="N477" s="5" t="str">
        <f aca="false">TRIM($A477&amp;" "&amp;IF($C477="",$R477,$C477&amp;" "&amp;$D477&amp;" "&amp;$E477&amp;" "&amp;$F477))</f>
        <v>Spec's #093 Brenham</v>
      </c>
      <c r="O477" s="5" t="str">
        <f aca="false">IF($P477&lt;&gt;"","Exclude",IF(AND($M477&lt;&gt;"Full address",$R477=""),"Needs address",IF($J477&lt;0.5,"Hold - low volume",IF(LEFT($W477,3)="Low","Verify address",IF($G477="Needs review","Needs premise review",IF($X477="Estimated","Ready - address estimated","Ready"))))))</f>
        <v>Needs address</v>
      </c>
      <c r="P477" s="5"/>
      <c r="Q477" s="5" t="s">
        <v>45</v>
      </c>
      <c r="R477" s="5"/>
      <c r="S477" s="5"/>
      <c r="T477" s="7"/>
      <c r="U477" s="7"/>
      <c r="V477" s="5"/>
      <c r="W477" s="5"/>
      <c r="X477" s="5" t="s">
        <v>3</v>
      </c>
      <c r="Y477" s="8" t="str">
        <f aca="false">IF($C477&lt;&gt;"",TRIM($C477&amp;", "&amp;$D477&amp;", "&amp;$E477&amp;" "&amp;$F477),IF($R477&lt;&gt;"",$R477,IF($D477&lt;&gt;"",$D477&amp;", "&amp;$E477,$I477)))</f>
        <v>Brenham, TX</v>
      </c>
    </row>
    <row r="478" customFormat="false" ht="15" hidden="false" customHeight="true" outlineLevel="0" collapsed="false">
      <c r="A478" s="5" t="s">
        <v>1531</v>
      </c>
      <c r="B478" s="5" t="s">
        <v>1531</v>
      </c>
      <c r="C478" s="5"/>
      <c r="D478" s="5" t="s">
        <v>639</v>
      </c>
      <c r="E478" s="5" t="s">
        <v>40</v>
      </c>
      <c r="F478" s="5"/>
      <c r="G478" s="5" t="s">
        <v>144</v>
      </c>
      <c r="H478" s="5" t="s">
        <v>41</v>
      </c>
      <c r="I478" s="5" t="s">
        <v>42</v>
      </c>
      <c r="J478" s="6" t="n">
        <v>0.33</v>
      </c>
      <c r="K478" s="5" t="s">
        <v>76</v>
      </c>
      <c r="L478" s="5" t="n">
        <f aca="false">IF($K478="",0,LEN($K478)-LEN(SUBSTITUTE($K478,",",""))+1)</f>
        <v>1</v>
      </c>
      <c r="M478" s="5" t="s">
        <v>44</v>
      </c>
      <c r="N478" s="5" t="str">
        <f aca="false">TRIM($A478&amp;" "&amp;IF($C478="",$R478,$C478&amp;" "&amp;$D478&amp;" "&amp;$E478&amp;" "&amp;$F478))</f>
        <v>Spec's #127 Dalworthington</v>
      </c>
      <c r="O478" s="5" t="str">
        <f aca="false">IF($P478&lt;&gt;"","Exclude",IF(AND($M478&lt;&gt;"Full address",$R478=""),"Needs address",IF($J478&lt;0.5,"Hold - low volume",IF(LEFT($W478,3)="Low","Verify address",IF($G478="Needs review","Needs premise review",IF($X478="Estimated","Ready - address estimated","Ready"))))))</f>
        <v>Needs address</v>
      </c>
      <c r="P478" s="5"/>
      <c r="Q478" s="5" t="s">
        <v>45</v>
      </c>
      <c r="R478" s="5"/>
      <c r="S478" s="5"/>
      <c r="T478" s="7"/>
      <c r="U478" s="7"/>
      <c r="V478" s="5"/>
      <c r="W478" s="5"/>
      <c r="X478" s="5" t="s">
        <v>3</v>
      </c>
      <c r="Y478" s="8" t="str">
        <f aca="false">IF($C478&lt;&gt;"",TRIM($C478&amp;", "&amp;$D478&amp;", "&amp;$E478&amp;" "&amp;$F478),IF($R478&lt;&gt;"",$R478,IF($D478&lt;&gt;"",$D478&amp;", "&amp;$E478,$I478)))</f>
        <v>Arlington, TX</v>
      </c>
    </row>
    <row r="479" customFormat="false" ht="15" hidden="false" customHeight="true" outlineLevel="0" collapsed="false">
      <c r="A479" s="5" t="s">
        <v>1532</v>
      </c>
      <c r="B479" s="5" t="s">
        <v>1532</v>
      </c>
      <c r="C479" s="5"/>
      <c r="D479" s="5" t="s">
        <v>1533</v>
      </c>
      <c r="E479" s="5" t="s">
        <v>40</v>
      </c>
      <c r="F479" s="5"/>
      <c r="G479" s="5" t="s">
        <v>144</v>
      </c>
      <c r="H479" s="5" t="s">
        <v>360</v>
      </c>
      <c r="I479" s="5" t="s">
        <v>42</v>
      </c>
      <c r="J479" s="6" t="n">
        <v>0.33</v>
      </c>
      <c r="K479" s="5" t="s">
        <v>426</v>
      </c>
      <c r="L479" s="5" t="n">
        <f aca="false">IF($K479="",0,LEN($K479)-LEN(SUBSTITUTE($K479,",",""))+1)</f>
        <v>1</v>
      </c>
      <c r="M479" s="5" t="s">
        <v>44</v>
      </c>
      <c r="N479" s="5" t="str">
        <f aca="false">TRIM($A479&amp;" "&amp;IF($C479="",$R479,$C479&amp;" "&amp;$D479&amp;" "&amp;$E479&amp;" "&amp;$F479))</f>
        <v>Spec's #134 Las Tiendas Plaza</v>
      </c>
      <c r="O479" s="5" t="str">
        <f aca="false">IF($P479&lt;&gt;"","Exclude",IF(AND($M479&lt;&gt;"Full address",$R479=""),"Needs address",IF($J479&lt;0.5,"Hold - low volume",IF(LEFT($W479,3)="Low","Verify address",IF($G479="Needs review","Needs premise review",IF($X479="Estimated","Ready - address estimated","Ready"))))))</f>
        <v>Needs address</v>
      </c>
      <c r="P479" s="5"/>
      <c r="Q479" s="5" t="s">
        <v>45</v>
      </c>
      <c r="R479" s="5"/>
      <c r="S479" s="5"/>
      <c r="T479" s="7"/>
      <c r="U479" s="7"/>
      <c r="V479" s="5"/>
      <c r="W479" s="5"/>
      <c r="X479" s="5" t="s">
        <v>3</v>
      </c>
      <c r="Y479" s="8" t="str">
        <f aca="false">IF($C479&lt;&gt;"",TRIM($C479&amp;", "&amp;$D479&amp;", "&amp;$E479&amp;" "&amp;$F479),IF($R479&lt;&gt;"",$R479,IF($D479&lt;&gt;"",$D479&amp;", "&amp;$E479,$I479)))</f>
        <v>Brownsville, TX</v>
      </c>
    </row>
    <row r="480" customFormat="false" ht="15" hidden="false" customHeight="true" outlineLevel="0" collapsed="false">
      <c r="A480" s="5" t="s">
        <v>1534</v>
      </c>
      <c r="B480" s="5" t="s">
        <v>1534</v>
      </c>
      <c r="C480" s="5"/>
      <c r="D480" s="5" t="s">
        <v>939</v>
      </c>
      <c r="E480" s="5" t="s">
        <v>40</v>
      </c>
      <c r="F480" s="5"/>
      <c r="G480" s="5" t="s">
        <v>144</v>
      </c>
      <c r="H480" s="5" t="s">
        <v>41</v>
      </c>
      <c r="I480" s="5" t="s">
        <v>42</v>
      </c>
      <c r="J480" s="6" t="n">
        <v>0.33</v>
      </c>
      <c r="K480" s="5" t="s">
        <v>76</v>
      </c>
      <c r="L480" s="5" t="n">
        <f aca="false">IF($K480="",0,LEN($K480)-LEN(SUBSTITUTE($K480,",",""))+1)</f>
        <v>1</v>
      </c>
      <c r="M480" s="5" t="s">
        <v>44</v>
      </c>
      <c r="N480" s="5" t="str">
        <f aca="false">TRIM($A480&amp;" "&amp;IF($C480="",$R480,$C480&amp;" "&amp;$D480&amp;" "&amp;$E480&amp;" "&amp;$F480))</f>
        <v>Spec's #141 East Plano</v>
      </c>
      <c r="O480" s="5" t="str">
        <f aca="false">IF($P480&lt;&gt;"","Exclude",IF(AND($M480&lt;&gt;"Full address",$R480=""),"Needs address",IF($J480&lt;0.5,"Hold - low volume",IF(LEFT($W480,3)="Low","Verify address",IF($G480="Needs review","Needs premise review",IF($X480="Estimated","Ready - address estimated","Ready"))))))</f>
        <v>Needs address</v>
      </c>
      <c r="P480" s="5"/>
      <c r="Q480" s="5" t="s">
        <v>45</v>
      </c>
      <c r="R480" s="5"/>
      <c r="S480" s="5"/>
      <c r="T480" s="7"/>
      <c r="U480" s="7"/>
      <c r="V480" s="5"/>
      <c r="W480" s="5"/>
      <c r="X480" s="5" t="s">
        <v>3</v>
      </c>
      <c r="Y480" s="8" t="str">
        <f aca="false">IF($C480&lt;&gt;"",TRIM($C480&amp;", "&amp;$D480&amp;", "&amp;$E480&amp;" "&amp;$F480),IF($R480&lt;&gt;"",$R480,IF($D480&lt;&gt;"",$D480&amp;", "&amp;$E480,$I480)))</f>
        <v>Plano, TX</v>
      </c>
    </row>
    <row r="481" customFormat="false" ht="15" hidden="false" customHeight="true" outlineLevel="0" collapsed="false">
      <c r="A481" s="5" t="s">
        <v>1535</v>
      </c>
      <c r="B481" s="5" t="s">
        <v>1536</v>
      </c>
      <c r="C481" s="5"/>
      <c r="D481" s="5" t="s">
        <v>1537</v>
      </c>
      <c r="E481" s="5" t="s">
        <v>40</v>
      </c>
      <c r="F481" s="5"/>
      <c r="G481" s="5" t="s">
        <v>144</v>
      </c>
      <c r="H481" s="5" t="s">
        <v>157</v>
      </c>
      <c r="I481" s="5" t="s">
        <v>42</v>
      </c>
      <c r="J481" s="6" t="n">
        <v>0.33</v>
      </c>
      <c r="K481" s="5" t="s">
        <v>426</v>
      </c>
      <c r="L481" s="5" t="n">
        <f aca="false">IF($K481="",0,LEN($K481)-LEN(SUBSTITUTE($K481,",",""))+1)</f>
        <v>1</v>
      </c>
      <c r="M481" s="5" t="s">
        <v>44</v>
      </c>
      <c r="N481" s="5" t="str">
        <f aca="false">TRIM($A481&amp;" "&amp;IF($C481="",$R481,$C481&amp;" "&amp;$D481&amp;" "&amp;$E481&amp;" "&amp;$F481))</f>
        <v>Spec's #148 Fat Dog</v>
      </c>
      <c r="O481" s="5" t="str">
        <f aca="false">IF($P481&lt;&gt;"","Exclude",IF(AND($M481&lt;&gt;"Full address",$R481=""),"Needs address",IF($J481&lt;0.5,"Hold - low volume",IF(LEFT($W481,3)="Low","Verify address",IF($G481="Needs review","Needs premise review",IF($X481="Estimated","Ready - address estimated","Ready"))))))</f>
        <v>Needs address</v>
      </c>
      <c r="P481" s="5"/>
      <c r="Q481" s="5" t="s">
        <v>45</v>
      </c>
      <c r="R481" s="5"/>
      <c r="S481" s="5"/>
      <c r="T481" s="7"/>
      <c r="U481" s="7"/>
      <c r="V481" s="5"/>
      <c r="W481" s="5"/>
      <c r="X481" s="5" t="s">
        <v>3</v>
      </c>
      <c r="Y481" s="8" t="str">
        <f aca="false">IF($C481&lt;&gt;"",TRIM($C481&amp;", "&amp;$D481&amp;", "&amp;$E481&amp;" "&amp;$F481),IF($R481&lt;&gt;"",$R481,IF($D481&lt;&gt;"",$D481&amp;", "&amp;$E481,$I481)))</f>
        <v>Kilgore, TX</v>
      </c>
    </row>
    <row r="482" customFormat="false" ht="15" hidden="false" customHeight="true" outlineLevel="0" collapsed="false">
      <c r="A482" s="5" t="s">
        <v>1538</v>
      </c>
      <c r="B482" s="5" t="s">
        <v>1538</v>
      </c>
      <c r="C482" s="5"/>
      <c r="D482" s="5" t="s">
        <v>573</v>
      </c>
      <c r="E482" s="5" t="s">
        <v>40</v>
      </c>
      <c r="F482" s="5"/>
      <c r="G482" s="5" t="s">
        <v>144</v>
      </c>
      <c r="H482" s="5" t="s">
        <v>157</v>
      </c>
      <c r="I482" s="5" t="s">
        <v>42</v>
      </c>
      <c r="J482" s="6" t="n">
        <v>0.33</v>
      </c>
      <c r="K482" s="5" t="s">
        <v>426</v>
      </c>
      <c r="L482" s="5" t="n">
        <f aca="false">IF($K482="",0,LEN($K482)-LEN(SUBSTITUTE($K482,",",""))+1)</f>
        <v>1</v>
      </c>
      <c r="M482" s="5" t="s">
        <v>44</v>
      </c>
      <c r="N482" s="5" t="str">
        <f aca="false">TRIM($A482&amp;" "&amp;IF($C482="",$R482,$C482&amp;" "&amp;$D482&amp;" "&amp;$E482&amp;" "&amp;$F482))</f>
        <v>Spec's #219 Shadow Creek Ranch</v>
      </c>
      <c r="O482" s="5" t="str">
        <f aca="false">IF($P482&lt;&gt;"","Exclude",IF(AND($M482&lt;&gt;"Full address",$R482=""),"Needs address",IF($J482&lt;0.5,"Hold - low volume",IF(LEFT($W482,3)="Low","Verify address",IF($G482="Needs review","Needs premise review",IF($X482="Estimated","Ready - address estimated","Ready"))))))</f>
        <v>Needs address</v>
      </c>
      <c r="P482" s="5"/>
      <c r="Q482" s="5" t="s">
        <v>45</v>
      </c>
      <c r="R482" s="5"/>
      <c r="S482" s="5"/>
      <c r="T482" s="7"/>
      <c r="U482" s="7"/>
      <c r="V482" s="5"/>
      <c r="W482" s="5"/>
      <c r="X482" s="5" t="s">
        <v>3</v>
      </c>
      <c r="Y482" s="8" t="str">
        <f aca="false">IF($C482&lt;&gt;"",TRIM($C482&amp;", "&amp;$D482&amp;", "&amp;$E482&amp;" "&amp;$F482),IF($R482&lt;&gt;"",$R482,IF($D482&lt;&gt;"",$D482&amp;", "&amp;$E482,$I482)))</f>
        <v>Pearland, TX</v>
      </c>
    </row>
    <row r="483" customFormat="false" ht="15" hidden="false" customHeight="true" outlineLevel="0" collapsed="false">
      <c r="A483" s="5" t="s">
        <v>1539</v>
      </c>
      <c r="B483" s="5" t="s">
        <v>1539</v>
      </c>
      <c r="C483" s="5"/>
      <c r="D483" s="5"/>
      <c r="E483" s="5" t="s">
        <v>913</v>
      </c>
      <c r="F483" s="5"/>
      <c r="G483" s="5" t="s">
        <v>144</v>
      </c>
      <c r="H483" s="5" t="s">
        <v>914</v>
      </c>
      <c r="I483" s="5" t="s">
        <v>915</v>
      </c>
      <c r="J483" s="6" t="n">
        <v>0.25</v>
      </c>
      <c r="K483" s="5" t="s">
        <v>63</v>
      </c>
      <c r="L483" s="5" t="n">
        <f aca="false">IF($K483="",0,LEN($K483)-LEN(SUBSTITUTE($K483,",",""))+1)</f>
        <v>2</v>
      </c>
      <c r="M483" s="5" t="s">
        <v>916</v>
      </c>
      <c r="N483" s="5" t="str">
        <f aca="false">TRIM($A483&amp;" "&amp;IF($C483="",$R483,$C483&amp;" "&amp;$D483&amp;" "&amp;$E483&amp;" "&amp;$F483))</f>
        <v>Samples - Vincent Bennin</v>
      </c>
      <c r="O483" s="5" t="str">
        <f aca="false">IF($P483&lt;&gt;"","Exclude",IF(AND($M483&lt;&gt;"Full address",$R483=""),"Needs address",IF($J483&lt;0.5,"Hold - low volume",IF(LEFT($W483,3)="Low","Verify address",IF($G483="Needs review","Needs premise review",IF($X483="Estimated","Ready - address estimated","Ready"))))))</f>
        <v>Exclude</v>
      </c>
      <c r="P483" s="5" t="s">
        <v>1540</v>
      </c>
      <c r="Q483" s="5" t="s">
        <v>917</v>
      </c>
      <c r="R483" s="5"/>
      <c r="S483" s="5"/>
      <c r="T483" s="7"/>
      <c r="U483" s="7"/>
      <c r="V483" s="5"/>
      <c r="W483" s="5"/>
      <c r="X483" s="5" t="s">
        <v>8</v>
      </c>
      <c r="Y483" s="8" t="str">
        <f aca="false">IF($C483&lt;&gt;"",TRIM($C483&amp;", "&amp;$D483&amp;", "&amp;$E483&amp;" "&amp;$F483),IF($R483&lt;&gt;"",$R483,IF($D483&lt;&gt;"",$D483&amp;", "&amp;$E483,$I483)))</f>
        <v>Wisconsin</v>
      </c>
    </row>
    <row r="484" customFormat="false" ht="15" hidden="false" customHeight="true" outlineLevel="0" collapsed="false">
      <c r="A484" s="5" t="s">
        <v>1541</v>
      </c>
      <c r="B484" s="5" t="s">
        <v>1542</v>
      </c>
      <c r="C484" s="5" t="s">
        <v>1543</v>
      </c>
      <c r="D484" s="5" t="s">
        <v>1544</v>
      </c>
      <c r="E484" s="5" t="s">
        <v>59</v>
      </c>
      <c r="F484" s="5" t="s">
        <v>1545</v>
      </c>
      <c r="G484" s="5" t="s">
        <v>144</v>
      </c>
      <c r="H484" s="5" t="s">
        <v>280</v>
      </c>
      <c r="I484" s="5" t="s">
        <v>62</v>
      </c>
      <c r="J484" s="6" t="n">
        <v>0.17</v>
      </c>
      <c r="K484" s="5" t="s">
        <v>426</v>
      </c>
      <c r="L484" s="5" t="n">
        <f aca="false">IF($K484="",0,LEN($K484)-LEN(SUBSTITUTE($K484,",",""))+1)</f>
        <v>1</v>
      </c>
      <c r="M484" s="5" t="s">
        <v>35</v>
      </c>
      <c r="N484" s="5" t="str">
        <f aca="false">TRIM($A484&amp;" "&amp;IF($C484="",$R484,$C484&amp;" "&amp;$D484&amp;" "&amp;$E484&amp;" "&amp;$F484))</f>
        <v>Country Club At Castle Pines 6400 Country Club Dr Castle Rock CO 80108</v>
      </c>
      <c r="O484" s="5" t="str">
        <f aca="false">IF($P484&lt;&gt;"","Exclude",IF(AND($M484&lt;&gt;"Full address",$R484=""),"Needs address",IF($J484&lt;0.5,"Hold - low volume",IF(LEFT($W484,3)="Low","Verify address",IF($G484="Needs review","Needs premise review",IF($X484="Estimated","Ready - address estimated","Ready"))))))</f>
        <v>Hold - low volume</v>
      </c>
      <c r="P484" s="5"/>
      <c r="Q484" s="5" t="s">
        <v>64</v>
      </c>
      <c r="R484" s="5"/>
      <c r="S484" s="5"/>
      <c r="T484" s="7"/>
      <c r="U484" s="7"/>
      <c r="V484" s="5"/>
      <c r="W484" s="5"/>
      <c r="X484" s="5" t="s">
        <v>37</v>
      </c>
      <c r="Y484" s="8" t="str">
        <f aca="false">IF($C484&lt;&gt;"",TRIM($C484&amp;", "&amp;$D484&amp;", "&amp;$E484&amp;" "&amp;$F484),IF($R484&lt;&gt;"",$R484,IF($D484&lt;&gt;"",$D484&amp;", "&amp;$E484,$I484)))</f>
        <v>6400 Country Club Dr, Castle Rock, CO 80108</v>
      </c>
    </row>
    <row r="485" customFormat="false" ht="15" hidden="false" customHeight="true" outlineLevel="0" collapsed="false">
      <c r="A485" s="5" t="s">
        <v>1546</v>
      </c>
      <c r="B485" s="5" t="s">
        <v>1547</v>
      </c>
      <c r="C485" s="5" t="s">
        <v>1548</v>
      </c>
      <c r="D485" s="5" t="s">
        <v>409</v>
      </c>
      <c r="E485" s="5" t="s">
        <v>59</v>
      </c>
      <c r="F485" s="5" t="s">
        <v>1549</v>
      </c>
      <c r="G485" s="5" t="s">
        <v>377</v>
      </c>
      <c r="H485" s="5" t="s">
        <v>61</v>
      </c>
      <c r="I485" s="5" t="s">
        <v>62</v>
      </c>
      <c r="J485" s="6" t="n">
        <v>0.17</v>
      </c>
      <c r="K485" s="5" t="s">
        <v>426</v>
      </c>
      <c r="L485" s="5" t="n">
        <f aca="false">IF($K485="",0,LEN($K485)-LEN(SUBSTITUTE($K485,",",""))+1)</f>
        <v>1</v>
      </c>
      <c r="M485" s="5" t="s">
        <v>35</v>
      </c>
      <c r="N485" s="5" t="str">
        <f aca="false">TRIM($A485&amp;" "&amp;IF($C485="",$R485,$C485&amp;" "&amp;$D485&amp;" "&amp;$E485&amp;" "&amp;$F485))</f>
        <v>Perdida - Mexican Kitchen 1066 S Gaylord St Denver CO 80209</v>
      </c>
      <c r="O485" s="5" t="str">
        <f aca="false">IF($P485&lt;&gt;"","Exclude",IF(AND($M485&lt;&gt;"Full address",$R485=""),"Needs address",IF($J485&lt;0.5,"Hold - low volume",IF(LEFT($W485,3)="Low","Verify address",IF($G485="Needs review","Needs premise review",IF($X485="Estimated","Ready - address estimated","Ready"))))))</f>
        <v>Hold - low volume</v>
      </c>
      <c r="P485" s="5"/>
      <c r="Q485" s="5" t="s">
        <v>64</v>
      </c>
      <c r="R485" s="5"/>
      <c r="S485" s="5"/>
      <c r="T485" s="7"/>
      <c r="U485" s="7"/>
      <c r="V485" s="5"/>
      <c r="W485" s="5"/>
      <c r="X485" s="5" t="s">
        <v>37</v>
      </c>
      <c r="Y485" s="8" t="str">
        <f aca="false">IF($C485&lt;&gt;"",TRIM($C485&amp;", "&amp;$D485&amp;", "&amp;$E485&amp;" "&amp;$F485),IF($R485&lt;&gt;"",$R485,IF($D485&lt;&gt;"",$D485&amp;", "&amp;$E485,$I485)))</f>
        <v>1066 S Gaylord St, Denver, CO 80209</v>
      </c>
    </row>
    <row r="486" customFormat="false" ht="15" hidden="false" customHeight="true" outlineLevel="0" collapsed="false">
      <c r="A486" s="5" t="s">
        <v>1550</v>
      </c>
      <c r="B486" s="5" t="s">
        <v>1551</v>
      </c>
      <c r="C486" s="5" t="s">
        <v>1552</v>
      </c>
      <c r="D486" s="5" t="s">
        <v>409</v>
      </c>
      <c r="E486" s="5" t="s">
        <v>59</v>
      </c>
      <c r="F486" s="5" t="s">
        <v>1553</v>
      </c>
      <c r="G486" s="5" t="s">
        <v>144</v>
      </c>
      <c r="H486" s="5" t="s">
        <v>61</v>
      </c>
      <c r="I486" s="5" t="s">
        <v>62</v>
      </c>
      <c r="J486" s="6" t="n">
        <v>0.17</v>
      </c>
      <c r="K486" s="5" t="s">
        <v>469</v>
      </c>
      <c r="L486" s="5" t="n">
        <f aca="false">IF($K486="",0,LEN($K486)-LEN(SUBSTITUTE($K486,",",""))+1)</f>
        <v>1</v>
      </c>
      <c r="M486" s="5" t="s">
        <v>35</v>
      </c>
      <c r="N486" s="5" t="str">
        <f aca="false">TRIM($A486&amp;" "&amp;IF($C486="",$R486,$C486&amp;" "&amp;$D486&amp;" "&amp;$E486&amp;" "&amp;$F486))</f>
        <v>The Hound 3575 S Yosemite St Denver CO 80237</v>
      </c>
      <c r="O486" s="5" t="str">
        <f aca="false">IF($P486&lt;&gt;"","Exclude",IF(AND($M486&lt;&gt;"Full address",$R486=""),"Needs address",IF($J486&lt;0.5,"Hold - low volume",IF(LEFT($W486,3)="Low","Verify address",IF($G486="Needs review","Needs premise review",IF($X486="Estimated","Ready - address estimated","Ready"))))))</f>
        <v>Hold - low volume</v>
      </c>
      <c r="P486" s="5"/>
      <c r="Q486" s="5" t="s">
        <v>64</v>
      </c>
      <c r="R486" s="5"/>
      <c r="S486" s="5"/>
      <c r="T486" s="7"/>
      <c r="U486" s="7"/>
      <c r="V486" s="5"/>
      <c r="W486" s="5"/>
      <c r="X486" s="5" t="s">
        <v>37</v>
      </c>
      <c r="Y486" s="8" t="str">
        <f aca="false">IF($C486&lt;&gt;"",TRIM($C486&amp;", "&amp;$D486&amp;", "&amp;$E486&amp;" "&amp;$F486),IF($R486&lt;&gt;"",$R486,IF($D486&lt;&gt;"",$D486&amp;", "&amp;$E486,$I486)))</f>
        <v>3575 S Yosemite St, Denver, CO 80237</v>
      </c>
    </row>
    <row r="487" customFormat="false" ht="15" hidden="false" customHeight="true" outlineLevel="0" collapsed="false">
      <c r="A487" s="5" t="s">
        <v>1554</v>
      </c>
      <c r="B487" s="5" t="s">
        <v>1554</v>
      </c>
      <c r="C487" s="5"/>
      <c r="D487" s="5" t="s">
        <v>1555</v>
      </c>
      <c r="E487" s="5" t="s">
        <v>182</v>
      </c>
      <c r="F487" s="5"/>
      <c r="G487" s="5" t="s">
        <v>377</v>
      </c>
      <c r="H487" s="5" t="s">
        <v>183</v>
      </c>
      <c r="I487" s="5" t="s">
        <v>184</v>
      </c>
      <c r="J487" s="6" t="n">
        <v>0.17</v>
      </c>
      <c r="K487" s="5" t="s">
        <v>319</v>
      </c>
      <c r="L487" s="5" t="n">
        <f aca="false">IF($K487="",0,LEN($K487)-LEN(SUBSTITUTE($K487,",",""))+1)</f>
        <v>1</v>
      </c>
      <c r="M487" s="5" t="s">
        <v>44</v>
      </c>
      <c r="N487" s="5" t="str">
        <f aca="false">TRIM($A487&amp;" "&amp;IF($C487="",$R487,$C487&amp;" "&amp;$D487&amp;" "&amp;$E487&amp;" "&amp;$F487))</f>
        <v>Ajua Mexican Kitchen</v>
      </c>
      <c r="O487" s="5" t="str">
        <f aca="false">IF($P487&lt;&gt;"","Exclude",IF(AND($M487&lt;&gt;"Full address",$R487=""),"Needs address",IF($J487&lt;0.5,"Hold - low volume",IF(LEFT($W487,3)="Low","Verify address",IF($G487="Needs review","Needs premise review",IF($X487="Estimated","Ready - address estimated","Ready"))))))</f>
        <v>Needs address</v>
      </c>
      <c r="P487" s="5"/>
      <c r="Q487" s="5" t="s">
        <v>185</v>
      </c>
      <c r="R487" s="5"/>
      <c r="S487" s="5"/>
      <c r="T487" s="7"/>
      <c r="U487" s="7"/>
      <c r="V487" s="5"/>
      <c r="W487" s="5"/>
      <c r="X487" s="5" t="s">
        <v>3</v>
      </c>
      <c r="Y487" s="8" t="str">
        <f aca="false">IF($C487&lt;&gt;"",TRIM($C487&amp;", "&amp;$D487&amp;", "&amp;$E487&amp;" "&amp;$F487),IF($R487&lt;&gt;"",$R487,IF($D487&lt;&gt;"",$D487&amp;", "&amp;$E487,$I487)))</f>
        <v>Jacksonville, FL</v>
      </c>
    </row>
    <row r="488" customFormat="false" ht="15" hidden="false" customHeight="true" outlineLevel="0" collapsed="false">
      <c r="A488" s="5" t="s">
        <v>1556</v>
      </c>
      <c r="B488" s="5" t="s">
        <v>1557</v>
      </c>
      <c r="C488" s="5" t="s">
        <v>1558</v>
      </c>
      <c r="D488" s="5" t="s">
        <v>1559</v>
      </c>
      <c r="E488" s="5" t="s">
        <v>29</v>
      </c>
      <c r="F488" s="5" t="s">
        <v>1560</v>
      </c>
      <c r="G488" s="5" t="s">
        <v>144</v>
      </c>
      <c r="H488" s="5" t="s">
        <v>32</v>
      </c>
      <c r="I488" s="5" t="s">
        <v>33</v>
      </c>
      <c r="J488" s="6" t="n">
        <v>0.17</v>
      </c>
      <c r="K488" s="5" t="s">
        <v>76</v>
      </c>
      <c r="L488" s="5" t="n">
        <f aca="false">IF($K488="",0,LEN($K488)-LEN(SUBSTITUTE($K488,",",""))+1)</f>
        <v>1</v>
      </c>
      <c r="M488" s="5" t="s">
        <v>35</v>
      </c>
      <c r="N488" s="5" t="str">
        <f aca="false">TRIM($A488&amp;" "&amp;IF($C488="",$R488,$C488&amp;" "&amp;$D488&amp;" "&amp;$E488&amp;" "&amp;$F488))</f>
        <v>La Cabana 118 Gadsden Rd SW Cave Spring GA 30124</v>
      </c>
      <c r="O488" s="5" t="str">
        <f aca="false">IF($P488&lt;&gt;"","Exclude",IF(AND($M488&lt;&gt;"Full address",$R488=""),"Needs address",IF($J488&lt;0.5,"Hold - low volume",IF(LEFT($W488,3)="Low","Verify address",IF($G488="Needs review","Needs premise review",IF($X488="Estimated","Ready - address estimated","Ready"))))))</f>
        <v>Hold - low volume</v>
      </c>
      <c r="P488" s="5"/>
      <c r="Q488" s="5" t="s">
        <v>36</v>
      </c>
      <c r="R488" s="5"/>
      <c r="S488" s="5"/>
      <c r="T488" s="7"/>
      <c r="U488" s="7"/>
      <c r="V488" s="5"/>
      <c r="W488" s="5"/>
      <c r="X488" s="5" t="s">
        <v>37</v>
      </c>
      <c r="Y488" s="8" t="str">
        <f aca="false">IF($C488&lt;&gt;"",TRIM($C488&amp;", "&amp;$D488&amp;", "&amp;$E488&amp;" "&amp;$F488),IF($R488&lt;&gt;"",$R488,IF($D488&lt;&gt;"",$D488&amp;", "&amp;$E488,$I488)))</f>
        <v>118 Gadsden Rd SW, Cave Spring, GA 30124</v>
      </c>
    </row>
    <row r="489" customFormat="false" ht="15" hidden="false" customHeight="true" outlineLevel="0" collapsed="false">
      <c r="A489" s="5" t="s">
        <v>1561</v>
      </c>
      <c r="B489" s="5" t="s">
        <v>1562</v>
      </c>
      <c r="C489" s="5" t="s">
        <v>1563</v>
      </c>
      <c r="D489" s="5" t="s">
        <v>1357</v>
      </c>
      <c r="E489" s="5" t="s">
        <v>29</v>
      </c>
      <c r="F489" s="5" t="s">
        <v>1564</v>
      </c>
      <c r="G489" s="5" t="s">
        <v>377</v>
      </c>
      <c r="H489" s="5" t="s">
        <v>32</v>
      </c>
      <c r="I489" s="5" t="s">
        <v>33</v>
      </c>
      <c r="J489" s="6" t="n">
        <v>0.17</v>
      </c>
      <c r="K489" s="5" t="s">
        <v>426</v>
      </c>
      <c r="L489" s="5" t="n">
        <f aca="false">IF($K489="",0,LEN($K489)-LEN(SUBSTITUTE($K489,",",""))+1)</f>
        <v>1</v>
      </c>
      <c r="M489" s="5" t="s">
        <v>35</v>
      </c>
      <c r="N489" s="5" t="str">
        <f aca="false">TRIM($A489&amp;" "&amp;IF($C489="",$R489,$C489&amp;" "&amp;$D489&amp;" "&amp;$E489&amp;" "&amp;$F489))</f>
        <v>Las Mesas Mexican Grill 2817 Martha Berry Hwy Rome GA 30165</v>
      </c>
      <c r="O489" s="5" t="str">
        <f aca="false">IF($P489&lt;&gt;"","Exclude",IF(AND($M489&lt;&gt;"Full address",$R489=""),"Needs address",IF($J489&lt;0.5,"Hold - low volume",IF(LEFT($W489,3)="Low","Verify address",IF($G489="Needs review","Needs premise review",IF($X489="Estimated","Ready - address estimated","Ready"))))))</f>
        <v>Hold - low volume</v>
      </c>
      <c r="P489" s="5"/>
      <c r="Q489" s="5" t="s">
        <v>36</v>
      </c>
      <c r="R489" s="5"/>
      <c r="S489" s="5"/>
      <c r="T489" s="7"/>
      <c r="U489" s="7"/>
      <c r="V489" s="5"/>
      <c r="W489" s="5"/>
      <c r="X489" s="5" t="s">
        <v>37</v>
      </c>
      <c r="Y489" s="8" t="str">
        <f aca="false">IF($C489&lt;&gt;"",TRIM($C489&amp;", "&amp;$D489&amp;", "&amp;$E489&amp;" "&amp;$F489),IF($R489&lt;&gt;"",$R489,IF($D489&lt;&gt;"",$D489&amp;", "&amp;$E489,$I489)))</f>
        <v>2817 Martha Berry Hwy, Rome, GA 30165</v>
      </c>
    </row>
    <row r="490" customFormat="false" ht="15" hidden="false" customHeight="true" outlineLevel="0" collapsed="false">
      <c r="A490" s="5" t="s">
        <v>1565</v>
      </c>
      <c r="B490" s="5" t="s">
        <v>1566</v>
      </c>
      <c r="C490" s="5" t="s">
        <v>1567</v>
      </c>
      <c r="D490" s="5" t="s">
        <v>258</v>
      </c>
      <c r="E490" s="5" t="s">
        <v>29</v>
      </c>
      <c r="F490" s="5" t="s">
        <v>259</v>
      </c>
      <c r="G490" s="5" t="s">
        <v>377</v>
      </c>
      <c r="H490" s="5" t="s">
        <v>32</v>
      </c>
      <c r="I490" s="5" t="s">
        <v>33</v>
      </c>
      <c r="J490" s="6" t="n">
        <v>0.17</v>
      </c>
      <c r="K490" s="5" t="s">
        <v>1163</v>
      </c>
      <c r="L490" s="5" t="n">
        <f aca="false">IF($K490="",0,LEN($K490)-LEN(SUBSTITUTE($K490,",",""))+1)</f>
        <v>1</v>
      </c>
      <c r="M490" s="5" t="s">
        <v>35</v>
      </c>
      <c r="N490" s="5" t="str">
        <f aca="false">TRIM($A490&amp;" "&amp;IF($C490="",$R490,$C490&amp;" "&amp;$D490&amp;" "&amp;$E490&amp;" "&amp;$F490))</f>
        <v>New Tokyo Hibachi 3030 Edwards Dr Conyers GA 30013</v>
      </c>
      <c r="O490" s="5" t="str">
        <f aca="false">IF($P490&lt;&gt;"","Exclude",IF(AND($M490&lt;&gt;"Full address",$R490=""),"Needs address",IF($J490&lt;0.5,"Hold - low volume",IF(LEFT($W490,3)="Low","Verify address",IF($G490="Needs review","Needs premise review",IF($X490="Estimated","Ready - address estimated","Ready"))))))</f>
        <v>Hold - low volume</v>
      </c>
      <c r="P490" s="5"/>
      <c r="Q490" s="5" t="s">
        <v>36</v>
      </c>
      <c r="R490" s="5"/>
      <c r="S490" s="5"/>
      <c r="T490" s="7"/>
      <c r="U490" s="7"/>
      <c r="V490" s="5"/>
      <c r="W490" s="5"/>
      <c r="X490" s="5" t="s">
        <v>37</v>
      </c>
      <c r="Y490" s="8" t="str">
        <f aca="false">IF($C490&lt;&gt;"",TRIM($C490&amp;", "&amp;$D490&amp;", "&amp;$E490&amp;" "&amp;$F490),IF($R490&lt;&gt;"",$R490,IF($D490&lt;&gt;"",$D490&amp;", "&amp;$E490,$I490)))</f>
        <v>3030 Edwards Dr, Conyers, GA 30013</v>
      </c>
    </row>
    <row r="491" customFormat="false" ht="15" hidden="false" customHeight="true" outlineLevel="0" collapsed="false">
      <c r="A491" s="5" t="s">
        <v>1568</v>
      </c>
      <c r="B491" s="5" t="s">
        <v>1569</v>
      </c>
      <c r="C491" s="5" t="s">
        <v>1570</v>
      </c>
      <c r="D491" s="5" t="s">
        <v>1482</v>
      </c>
      <c r="E491" s="5" t="s">
        <v>29</v>
      </c>
      <c r="F491" s="5" t="s">
        <v>1483</v>
      </c>
      <c r="G491" s="5" t="s">
        <v>377</v>
      </c>
      <c r="H491" s="5" t="s">
        <v>32</v>
      </c>
      <c r="I491" s="5" t="s">
        <v>33</v>
      </c>
      <c r="J491" s="6" t="n">
        <v>0.17</v>
      </c>
      <c r="K491" s="5" t="s">
        <v>426</v>
      </c>
      <c r="L491" s="5" t="n">
        <f aca="false">IF($K491="",0,LEN($K491)-LEN(SUBSTITUTE($K491,",",""))+1)</f>
        <v>1</v>
      </c>
      <c r="M491" s="5" t="s">
        <v>35</v>
      </c>
      <c r="N491" s="5" t="str">
        <f aca="false">TRIM($A491&amp;" "&amp;IF($C491="",$R491,$C491&amp;" "&amp;$D491&amp;" "&amp;$E491&amp;" "&amp;$F491))</f>
        <v>Pappy's Pizza NY Style 6192 Joe Frank Harris Pkwy Adairsville GA 30103</v>
      </c>
      <c r="O491" s="5" t="str">
        <f aca="false">IF($P491&lt;&gt;"","Exclude",IF(AND($M491&lt;&gt;"Full address",$R491=""),"Needs address",IF($J491&lt;0.5,"Hold - low volume",IF(LEFT($W491,3)="Low","Verify address",IF($G491="Needs review","Needs premise review",IF($X491="Estimated","Ready - address estimated","Ready"))))))</f>
        <v>Hold - low volume</v>
      </c>
      <c r="P491" s="5"/>
      <c r="Q491" s="5" t="s">
        <v>36</v>
      </c>
      <c r="R491" s="5"/>
      <c r="S491" s="5"/>
      <c r="T491" s="7"/>
      <c r="U491" s="7"/>
      <c r="V491" s="5"/>
      <c r="W491" s="5"/>
      <c r="X491" s="5" t="s">
        <v>37</v>
      </c>
      <c r="Y491" s="8" t="str">
        <f aca="false">IF($C491&lt;&gt;"",TRIM($C491&amp;", "&amp;$D491&amp;", "&amp;$E491&amp;" "&amp;$F491),IF($R491&lt;&gt;"",$R491,IF($D491&lt;&gt;"",$D491&amp;", "&amp;$E491,$I491)))</f>
        <v>6192 Joe Frank Harris Pkwy, Adairsville, GA 30103</v>
      </c>
    </row>
    <row r="492" customFormat="false" ht="15" hidden="false" customHeight="true" outlineLevel="0" collapsed="false">
      <c r="A492" s="5" t="s">
        <v>1571</v>
      </c>
      <c r="B492" s="5" t="s">
        <v>1572</v>
      </c>
      <c r="C492" s="5" t="s">
        <v>1573</v>
      </c>
      <c r="D492" s="5" t="s">
        <v>1574</v>
      </c>
      <c r="E492" s="5" t="s">
        <v>29</v>
      </c>
      <c r="F492" s="5" t="s">
        <v>1575</v>
      </c>
      <c r="G492" s="5" t="s">
        <v>144</v>
      </c>
      <c r="H492" s="5" t="s">
        <v>32</v>
      </c>
      <c r="I492" s="5" t="s">
        <v>33</v>
      </c>
      <c r="J492" s="6" t="n">
        <v>0.17</v>
      </c>
      <c r="K492" s="5" t="s">
        <v>1163</v>
      </c>
      <c r="L492" s="5" t="n">
        <f aca="false">IF($K492="",0,LEN($K492)-LEN(SUBSTITUTE($K492,",",""))+1)</f>
        <v>1</v>
      </c>
      <c r="M492" s="5" t="s">
        <v>35</v>
      </c>
      <c r="N492" s="5" t="str">
        <f aca="false">TRIM($A492&amp;" "&amp;IF($C492="",$R492,$C492&amp;" "&amp;$D492&amp;" "&amp;$E492&amp;" "&amp;$F492))</f>
        <v>The Iron Rail 5995 US-41 Bolingbroke GA 312004</v>
      </c>
      <c r="O492" s="5" t="str">
        <f aca="false">IF($P492&lt;&gt;"","Exclude",IF(AND($M492&lt;&gt;"Full address",$R492=""),"Needs address",IF($J492&lt;0.5,"Hold - low volume",IF(LEFT($W492,3)="Low","Verify address",IF($G492="Needs review","Needs premise review",IF($X492="Estimated","Ready - address estimated","Ready"))))))</f>
        <v>Hold - low volume</v>
      </c>
      <c r="P492" s="5"/>
      <c r="Q492" s="5" t="s">
        <v>36</v>
      </c>
      <c r="R492" s="5"/>
      <c r="S492" s="5"/>
      <c r="T492" s="7"/>
      <c r="U492" s="7"/>
      <c r="V492" s="5"/>
      <c r="W492" s="5"/>
      <c r="X492" s="5" t="s">
        <v>37</v>
      </c>
      <c r="Y492" s="8" t="str">
        <f aca="false">IF($C492&lt;&gt;"",TRIM($C492&amp;", "&amp;$D492&amp;", "&amp;$E492&amp;" "&amp;$F492),IF($R492&lt;&gt;"",$R492,IF($D492&lt;&gt;"",$D492&amp;", "&amp;$E492,$I492)))</f>
        <v>5995 US-41, Bolingbroke, GA 312004</v>
      </c>
    </row>
    <row r="493" customFormat="false" ht="15" hidden="false" customHeight="true" outlineLevel="0" collapsed="false">
      <c r="A493" s="5" t="s">
        <v>1576</v>
      </c>
      <c r="B493" s="5" t="s">
        <v>1577</v>
      </c>
      <c r="C493" s="5" t="s">
        <v>1578</v>
      </c>
      <c r="D493" s="5" t="s">
        <v>473</v>
      </c>
      <c r="E493" s="5" t="s">
        <v>29</v>
      </c>
      <c r="F493" s="5" t="s">
        <v>1579</v>
      </c>
      <c r="G493" s="5" t="s">
        <v>377</v>
      </c>
      <c r="H493" s="5" t="s">
        <v>437</v>
      </c>
      <c r="I493" s="5" t="s">
        <v>33</v>
      </c>
      <c r="J493" s="6" t="n">
        <v>0.17</v>
      </c>
      <c r="K493" s="5" t="s">
        <v>76</v>
      </c>
      <c r="L493" s="5" t="n">
        <f aca="false">IF($K493="",0,LEN($K493)-LEN(SUBSTITUTE($K493,",",""))+1)</f>
        <v>1</v>
      </c>
      <c r="M493" s="5" t="s">
        <v>35</v>
      </c>
      <c r="N493" s="5" t="str">
        <f aca="false">TRIM($A493&amp;" "&amp;IF($C493="",$R493,$C493&amp;" "&amp;$D493&amp;" "&amp;$E493&amp;" "&amp;$F493))</f>
        <v>Water Witch Tiki 2220 BULL ST Savannah GA 31401</v>
      </c>
      <c r="O493" s="5" t="str">
        <f aca="false">IF($P493&lt;&gt;"","Exclude",IF(AND($M493&lt;&gt;"Full address",$R493=""),"Needs address",IF($J493&lt;0.5,"Hold - low volume",IF(LEFT($W493,3)="Low","Verify address",IF($G493="Needs review","Needs premise review",IF($X493="Estimated","Ready - address estimated","Ready"))))))</f>
        <v>Hold - low volume</v>
      </c>
      <c r="P493" s="5"/>
      <c r="Q493" s="5" t="s">
        <v>36</v>
      </c>
      <c r="R493" s="5"/>
      <c r="S493" s="5"/>
      <c r="T493" s="7"/>
      <c r="U493" s="7"/>
      <c r="V493" s="5"/>
      <c r="W493" s="5"/>
      <c r="X493" s="5" t="s">
        <v>37</v>
      </c>
      <c r="Y493" s="8" t="str">
        <f aca="false">IF($C493&lt;&gt;"",TRIM($C493&amp;", "&amp;$D493&amp;", "&amp;$E493&amp;" "&amp;$F493),IF($R493&lt;&gt;"",$R493,IF($D493&lt;&gt;"",$D493&amp;", "&amp;$E493,$I493)))</f>
        <v>2220 BULL ST, Savannah, GA 31401</v>
      </c>
    </row>
    <row r="494" customFormat="false" ht="15" hidden="false" customHeight="true" outlineLevel="0" collapsed="false">
      <c r="A494" s="5" t="s">
        <v>1580</v>
      </c>
      <c r="B494" s="5" t="s">
        <v>1581</v>
      </c>
      <c r="C494" s="5" t="s">
        <v>1582</v>
      </c>
      <c r="D494" s="5" t="s">
        <v>483</v>
      </c>
      <c r="E494" s="5" t="s">
        <v>484</v>
      </c>
      <c r="F494" s="5" t="s">
        <v>1583</v>
      </c>
      <c r="G494" s="5" t="s">
        <v>31</v>
      </c>
      <c r="H494" s="5" t="s">
        <v>486</v>
      </c>
      <c r="I494" s="5" t="s">
        <v>487</v>
      </c>
      <c r="J494" s="6" t="n">
        <v>0.17</v>
      </c>
      <c r="K494" s="5" t="s">
        <v>76</v>
      </c>
      <c r="L494" s="5" t="n">
        <f aca="false">IF($K494="",0,LEN($K494)-LEN(SUBSTITUTE($K494,",",""))+1)</f>
        <v>1</v>
      </c>
      <c r="M494" s="5" t="s">
        <v>35</v>
      </c>
      <c r="N494" s="5" t="str">
        <f aca="false">TRIM($A494&amp;" "&amp;IF($C494="",$R494,$C494&amp;" "&amp;$D494&amp;" "&amp;$E494&amp;" "&amp;$F494))</f>
        <v>Burgardt Liquor 3027 E Pawnee St Wichita KS 67211</v>
      </c>
      <c r="O494" s="5" t="str">
        <f aca="false">IF($P494&lt;&gt;"","Exclude",IF(AND($M494&lt;&gt;"Full address",$R494=""),"Needs address",IF($J494&lt;0.5,"Hold - low volume",IF(LEFT($W494,3)="Low","Verify address",IF($G494="Needs review","Needs premise review",IF($X494="Estimated","Ready - address estimated","Ready"))))))</f>
        <v>Hold - low volume</v>
      </c>
      <c r="P494" s="5"/>
      <c r="Q494" s="5" t="s">
        <v>488</v>
      </c>
      <c r="R494" s="5"/>
      <c r="S494" s="5"/>
      <c r="T494" s="7"/>
      <c r="U494" s="7"/>
      <c r="V494" s="5"/>
      <c r="W494" s="5"/>
      <c r="X494" s="5" t="s">
        <v>37</v>
      </c>
      <c r="Y494" s="8" t="str">
        <f aca="false">IF($C494&lt;&gt;"",TRIM($C494&amp;", "&amp;$D494&amp;", "&amp;$E494&amp;" "&amp;$F494),IF($R494&lt;&gt;"",$R494,IF($D494&lt;&gt;"",$D494&amp;", "&amp;$E494,$I494)))</f>
        <v>3027 E Pawnee St, Wichita, KS 67211</v>
      </c>
    </row>
    <row r="495" customFormat="false" ht="15" hidden="false" customHeight="true" outlineLevel="0" collapsed="false">
      <c r="A495" s="5" t="s">
        <v>1584</v>
      </c>
      <c r="B495" s="5" t="s">
        <v>1584</v>
      </c>
      <c r="C495" s="5" t="s">
        <v>1585</v>
      </c>
      <c r="D495" s="5" t="s">
        <v>1586</v>
      </c>
      <c r="E495" s="5" t="s">
        <v>484</v>
      </c>
      <c r="F495" s="5" t="s">
        <v>1587</v>
      </c>
      <c r="G495" s="5" t="s">
        <v>31</v>
      </c>
      <c r="H495" s="5" t="s">
        <v>486</v>
      </c>
      <c r="I495" s="5" t="s">
        <v>487</v>
      </c>
      <c r="J495" s="6" t="n">
        <v>0.17</v>
      </c>
      <c r="K495" s="5" t="s">
        <v>76</v>
      </c>
      <c r="L495" s="5" t="n">
        <f aca="false">IF($K495="",0,LEN($K495)-LEN(SUBSTITUTE($K495,",",""))+1)</f>
        <v>1</v>
      </c>
      <c r="M495" s="5" t="s">
        <v>35</v>
      </c>
      <c r="N495" s="5" t="str">
        <f aca="false">TRIM($A495&amp;" "&amp;IF($C495="",$R495,$C495&amp;" "&amp;$D495&amp;" "&amp;$E495&amp;" "&amp;$F495))</f>
        <v>Goddard Central Wine &amp; Spirits 19950 W Kellogg Street Goddard KS 67052</v>
      </c>
      <c r="O495" s="5" t="str">
        <f aca="false">IF($P495&lt;&gt;"","Exclude",IF(AND($M495&lt;&gt;"Full address",$R495=""),"Needs address",IF($J495&lt;0.5,"Hold - low volume",IF(LEFT($W495,3)="Low","Verify address",IF($G495="Needs review","Needs premise review",IF($X495="Estimated","Ready - address estimated","Ready"))))))</f>
        <v>Hold - low volume</v>
      </c>
      <c r="P495" s="5"/>
      <c r="Q495" s="5" t="s">
        <v>488</v>
      </c>
      <c r="R495" s="5"/>
      <c r="S495" s="5"/>
      <c r="T495" s="7"/>
      <c r="U495" s="7"/>
      <c r="V495" s="5"/>
      <c r="W495" s="5"/>
      <c r="X495" s="5" t="s">
        <v>37</v>
      </c>
      <c r="Y495" s="8" t="str">
        <f aca="false">IF($C495&lt;&gt;"",TRIM($C495&amp;", "&amp;$D495&amp;", "&amp;$E495&amp;" "&amp;$F495),IF($R495&lt;&gt;"",$R495,IF($D495&lt;&gt;"",$D495&amp;", "&amp;$E495,$I495)))</f>
        <v>19950 W Kellogg Street, Goddard, KS 67052</v>
      </c>
    </row>
    <row r="496" customFormat="false" ht="15" hidden="false" customHeight="true" outlineLevel="0" collapsed="false">
      <c r="A496" s="5" t="s">
        <v>1588</v>
      </c>
      <c r="B496" s="5" t="s">
        <v>1589</v>
      </c>
      <c r="C496" s="5" t="s">
        <v>1590</v>
      </c>
      <c r="D496" s="5" t="s">
        <v>483</v>
      </c>
      <c r="E496" s="5" t="s">
        <v>484</v>
      </c>
      <c r="F496" s="5" t="s">
        <v>646</v>
      </c>
      <c r="G496" s="5" t="s">
        <v>31</v>
      </c>
      <c r="H496" s="5" t="s">
        <v>486</v>
      </c>
      <c r="I496" s="5" t="s">
        <v>487</v>
      </c>
      <c r="J496" s="6" t="n">
        <v>0.17</v>
      </c>
      <c r="K496" s="5" t="s">
        <v>414</v>
      </c>
      <c r="L496" s="5" t="n">
        <f aca="false">IF($K496="",0,LEN($K496)-LEN(SUBSTITUTE($K496,",",""))+1)</f>
        <v>2</v>
      </c>
      <c r="M496" s="5" t="s">
        <v>35</v>
      </c>
      <c r="N496" s="5" t="str">
        <f aca="false">TRIM($A496&amp;" "&amp;IF($C496="",$R496,$C496&amp;" "&amp;$D496&amp;" "&amp;$E496&amp;" "&amp;$F496))</f>
        <v>Liquor Warehouse 10555 W 21st St Wichita KS 67205</v>
      </c>
      <c r="O496" s="5" t="str">
        <f aca="false">IF($P496&lt;&gt;"","Exclude",IF(AND($M496&lt;&gt;"Full address",$R496=""),"Needs address",IF($J496&lt;0.5,"Hold - low volume",IF(LEFT($W496,3)="Low","Verify address",IF($G496="Needs review","Needs premise review",IF($X496="Estimated","Ready - address estimated","Ready"))))))</f>
        <v>Hold - low volume</v>
      </c>
      <c r="P496" s="5"/>
      <c r="Q496" s="5" t="s">
        <v>488</v>
      </c>
      <c r="R496" s="5"/>
      <c r="S496" s="5"/>
      <c r="T496" s="7"/>
      <c r="U496" s="7"/>
      <c r="V496" s="5"/>
      <c r="W496" s="5"/>
      <c r="X496" s="5" t="s">
        <v>37</v>
      </c>
      <c r="Y496" s="8" t="str">
        <f aca="false">IF($C496&lt;&gt;"",TRIM($C496&amp;", "&amp;$D496&amp;", "&amp;$E496&amp;" "&amp;$F496),IF($R496&lt;&gt;"",$R496,IF($D496&lt;&gt;"",$D496&amp;", "&amp;$E496,$I496)))</f>
        <v>10555 W 21st St, Wichita, KS 67205</v>
      </c>
    </row>
    <row r="497" customFormat="false" ht="15" hidden="false" customHeight="true" outlineLevel="0" collapsed="false">
      <c r="A497" s="5" t="s">
        <v>1591</v>
      </c>
      <c r="B497" s="5" t="s">
        <v>1592</v>
      </c>
      <c r="C497" s="5" t="s">
        <v>1593</v>
      </c>
      <c r="D497" s="5" t="s">
        <v>1594</v>
      </c>
      <c r="E497" s="5" t="s">
        <v>484</v>
      </c>
      <c r="F497" s="5" t="s">
        <v>1595</v>
      </c>
      <c r="G497" s="5" t="s">
        <v>31</v>
      </c>
      <c r="H497" s="5" t="s">
        <v>486</v>
      </c>
      <c r="I497" s="5" t="s">
        <v>487</v>
      </c>
      <c r="J497" s="6" t="n">
        <v>0.17</v>
      </c>
      <c r="K497" s="5" t="s">
        <v>76</v>
      </c>
      <c r="L497" s="5" t="n">
        <f aca="false">IF($K497="",0,LEN($K497)-LEN(SUBSTITUTE($K497,",",""))+1)</f>
        <v>1</v>
      </c>
      <c r="M497" s="5" t="s">
        <v>35</v>
      </c>
      <c r="N497" s="5" t="str">
        <f aca="false">TRIM($A497&amp;" "&amp;IF($C497="",$R497,$C497&amp;" "&amp;$D497&amp;" "&amp;$E497&amp;" "&amp;$F497))</f>
        <v>Riverside Liquor 320 W RIVER STREET Eureka KS 67045</v>
      </c>
      <c r="O497" s="5" t="str">
        <f aca="false">IF($P497&lt;&gt;"","Exclude",IF(AND($M497&lt;&gt;"Full address",$R497=""),"Needs address",IF($J497&lt;0.5,"Hold - low volume",IF(LEFT($W497,3)="Low","Verify address",IF($G497="Needs review","Needs premise review",IF($X497="Estimated","Ready - address estimated","Ready"))))))</f>
        <v>Hold - low volume</v>
      </c>
      <c r="P497" s="5"/>
      <c r="Q497" s="5" t="s">
        <v>488</v>
      </c>
      <c r="R497" s="5"/>
      <c r="S497" s="5"/>
      <c r="T497" s="7"/>
      <c r="U497" s="7"/>
      <c r="V497" s="5"/>
      <c r="W497" s="5"/>
      <c r="X497" s="5" t="s">
        <v>37</v>
      </c>
      <c r="Y497" s="8" t="str">
        <f aca="false">IF($C497&lt;&gt;"",TRIM($C497&amp;", "&amp;$D497&amp;", "&amp;$E497&amp;" "&amp;$F497),IF($R497&lt;&gt;"",$R497,IF($D497&lt;&gt;"",$D497&amp;", "&amp;$E497,$I497)))</f>
        <v>320 W RIVER STREET, Eureka, KS 67045</v>
      </c>
    </row>
    <row r="498" customFormat="false" ht="15" hidden="false" customHeight="true" outlineLevel="0" collapsed="false">
      <c r="A498" s="5" t="s">
        <v>1596</v>
      </c>
      <c r="B498" s="5" t="s">
        <v>1597</v>
      </c>
      <c r="C498" s="5" t="s">
        <v>1598</v>
      </c>
      <c r="D498" s="5" t="s">
        <v>1156</v>
      </c>
      <c r="E498" s="5" t="s">
        <v>493</v>
      </c>
      <c r="F498" s="5" t="s">
        <v>1429</v>
      </c>
      <c r="G498" s="5" t="s">
        <v>31</v>
      </c>
      <c r="H498" s="5" t="s">
        <v>495</v>
      </c>
      <c r="I498" s="5" t="s">
        <v>496</v>
      </c>
      <c r="J498" s="6" t="n">
        <v>0.17</v>
      </c>
      <c r="K498" s="5" t="s">
        <v>76</v>
      </c>
      <c r="L498" s="5" t="n">
        <f aca="false">IF($K498="",0,LEN($K498)-LEN(SUBSTITUTE($K498,",",""))+1)</f>
        <v>1</v>
      </c>
      <c r="M498" s="5" t="s">
        <v>35</v>
      </c>
      <c r="N498" s="5" t="str">
        <f aca="false">TRIM($A498&amp;" "&amp;IF($C498="",$R498,$C498&amp;" "&amp;$D498&amp;" "&amp;$E498&amp;" "&amp;$F498))</f>
        <v>Plaza Liquor BELLEVIEW Kansas City MO 64111</v>
      </c>
      <c r="O498" s="5" t="str">
        <f aca="false">IF($P498&lt;&gt;"","Exclude",IF(AND($M498&lt;&gt;"Full address",$R498=""),"Needs address",IF($J498&lt;0.5,"Hold - low volume",IF(LEFT($W498,3)="Low","Verify address",IF($G498="Needs review","Needs premise review",IF($X498="Estimated","Ready - address estimated","Ready"))))))</f>
        <v>Hold - low volume</v>
      </c>
      <c r="P498" s="5"/>
      <c r="Q498" s="5" t="s">
        <v>498</v>
      </c>
      <c r="R498" s="5"/>
      <c r="S498" s="5"/>
      <c r="T498" s="7"/>
      <c r="U498" s="7"/>
      <c r="V498" s="5"/>
      <c r="W498" s="5"/>
      <c r="X498" s="5" t="s">
        <v>37</v>
      </c>
      <c r="Y498" s="8" t="str">
        <f aca="false">IF($C498&lt;&gt;"",TRIM($C498&amp;", "&amp;$D498&amp;", "&amp;$E498&amp;" "&amp;$F498),IF($R498&lt;&gt;"",$R498,IF($D498&lt;&gt;"",$D498&amp;", "&amp;$E498,$I498)))</f>
        <v>BELLEVIEW, Kansas City, MO 64111</v>
      </c>
    </row>
    <row r="499" customFormat="false" ht="15" hidden="false" customHeight="true" outlineLevel="0" collapsed="false">
      <c r="A499" s="5" t="s">
        <v>1599</v>
      </c>
      <c r="B499" s="5" t="s">
        <v>1600</v>
      </c>
      <c r="C499" s="5" t="s">
        <v>1601</v>
      </c>
      <c r="D499" s="5" t="s">
        <v>1602</v>
      </c>
      <c r="E499" s="5" t="s">
        <v>493</v>
      </c>
      <c r="F499" s="5" t="s">
        <v>1603</v>
      </c>
      <c r="G499" s="5" t="s">
        <v>377</v>
      </c>
      <c r="H499" s="5" t="s">
        <v>495</v>
      </c>
      <c r="I499" s="5" t="s">
        <v>496</v>
      </c>
      <c r="J499" s="6" t="n">
        <v>0.17</v>
      </c>
      <c r="K499" s="5" t="s">
        <v>319</v>
      </c>
      <c r="L499" s="5" t="n">
        <f aca="false">IF($K499="",0,LEN($K499)-LEN(SUBSTITUTE($K499,",",""))+1)</f>
        <v>1</v>
      </c>
      <c r="M499" s="5" t="s">
        <v>35</v>
      </c>
      <c r="N499" s="5" t="str">
        <f aca="false">TRIM($A499&amp;" "&amp;IF($C499="",$R499,$C499&amp;" "&amp;$D499&amp;" "&amp;$E499&amp;" "&amp;$F499))</f>
        <v>StackHouse Pub &amp; Grill 14156 Olive Blvd Chesterfield MO 63017</v>
      </c>
      <c r="O499" s="5" t="str">
        <f aca="false">IF($P499&lt;&gt;"","Exclude",IF(AND($M499&lt;&gt;"Full address",$R499=""),"Needs address",IF($J499&lt;0.5,"Hold - low volume",IF(LEFT($W499,3)="Low","Verify address",IF($G499="Needs review","Needs premise review",IF($X499="Estimated","Ready - address estimated","Ready"))))))</f>
        <v>Hold - low volume</v>
      </c>
      <c r="P499" s="5"/>
      <c r="Q499" s="5" t="s">
        <v>498</v>
      </c>
      <c r="R499" s="5"/>
      <c r="S499" s="5"/>
      <c r="T499" s="7"/>
      <c r="U499" s="7"/>
      <c r="V499" s="5"/>
      <c r="W499" s="5"/>
      <c r="X499" s="5" t="s">
        <v>37</v>
      </c>
      <c r="Y499" s="8" t="str">
        <f aca="false">IF($C499&lt;&gt;"",TRIM($C499&amp;", "&amp;$D499&amp;", "&amp;$E499&amp;" "&amp;$F499),IF($R499&lt;&gt;"",$R499,IF($D499&lt;&gt;"",$D499&amp;", "&amp;$E499,$I499)))</f>
        <v>14156 Olive Blvd, Chesterfield, MO 63017</v>
      </c>
    </row>
    <row r="500" customFormat="false" ht="15" hidden="false" customHeight="true" outlineLevel="0" collapsed="false">
      <c r="A500" s="5" t="s">
        <v>1604</v>
      </c>
      <c r="B500" s="5" t="s">
        <v>1604</v>
      </c>
      <c r="C500" s="5"/>
      <c r="D500" s="5" t="s">
        <v>1605</v>
      </c>
      <c r="E500" s="5" t="s">
        <v>40</v>
      </c>
      <c r="F500" s="5"/>
      <c r="G500" s="5" t="s">
        <v>144</v>
      </c>
      <c r="H500" s="5" t="s">
        <v>157</v>
      </c>
      <c r="I500" s="5" t="s">
        <v>42</v>
      </c>
      <c r="J500" s="6" t="n">
        <v>0.17</v>
      </c>
      <c r="K500" s="5" t="s">
        <v>426</v>
      </c>
      <c r="L500" s="5" t="n">
        <f aca="false">IF($K500="",0,LEN($K500)-LEN(SUBSTITUTE($K500,",",""))+1)</f>
        <v>1</v>
      </c>
      <c r="M500" s="5" t="s">
        <v>44</v>
      </c>
      <c r="N500" s="5" t="str">
        <f aca="false">TRIM($A500&amp;" "&amp;IF($C500="",$R500,$C500&amp;" "&amp;$D500&amp;" "&amp;$E500&amp;" "&amp;$F500))</f>
        <v>Spec's #010 Seabrook</v>
      </c>
      <c r="O500" s="5" t="str">
        <f aca="false">IF($P500&lt;&gt;"","Exclude",IF(AND($M500&lt;&gt;"Full address",$R500=""),"Needs address",IF($J500&lt;0.5,"Hold - low volume",IF(LEFT($W500,3)="Low","Verify address",IF($G500="Needs review","Needs premise review",IF($X500="Estimated","Ready - address estimated","Ready"))))))</f>
        <v>Needs address</v>
      </c>
      <c r="P500" s="5"/>
      <c r="Q500" s="5" t="s">
        <v>45</v>
      </c>
      <c r="R500" s="5"/>
      <c r="S500" s="5"/>
      <c r="T500" s="7"/>
      <c r="U500" s="7"/>
      <c r="V500" s="5"/>
      <c r="W500" s="5"/>
      <c r="X500" s="5" t="s">
        <v>3</v>
      </c>
      <c r="Y500" s="8" t="str">
        <f aca="false">IF($C500&lt;&gt;"",TRIM($C500&amp;", "&amp;$D500&amp;", "&amp;$E500&amp;" "&amp;$F500),IF($R500&lt;&gt;"",$R500,IF($D500&lt;&gt;"",$D500&amp;", "&amp;$E500,$I500)))</f>
        <v>Seabrook, TX</v>
      </c>
    </row>
    <row r="501" customFormat="false" ht="15" hidden="false" customHeight="true" outlineLevel="0" collapsed="false">
      <c r="A501" s="5" t="s">
        <v>1606</v>
      </c>
      <c r="B501" s="5" t="s">
        <v>1606</v>
      </c>
      <c r="C501" s="5"/>
      <c r="D501" s="5" t="s">
        <v>1374</v>
      </c>
      <c r="E501" s="5" t="s">
        <v>40</v>
      </c>
      <c r="F501" s="5"/>
      <c r="G501" s="5" t="s">
        <v>144</v>
      </c>
      <c r="H501" s="5" t="s">
        <v>360</v>
      </c>
      <c r="I501" s="5" t="s">
        <v>42</v>
      </c>
      <c r="J501" s="6" t="n">
        <v>0.17</v>
      </c>
      <c r="K501" s="5" t="s">
        <v>76</v>
      </c>
      <c r="L501" s="5" t="n">
        <f aca="false">IF($K501="",0,LEN($K501)-LEN(SUBSTITUTE($K501,",",""))+1)</f>
        <v>1</v>
      </c>
      <c r="M501" s="5" t="s">
        <v>44</v>
      </c>
      <c r="N501" s="5" t="str">
        <f aca="false">TRIM($A501&amp;" "&amp;IF($C501="",$R501,$C501&amp;" "&amp;$D501&amp;" "&amp;$E501&amp;" "&amp;$F501))</f>
        <v>Spec's #011 North Lamar</v>
      </c>
      <c r="O501" s="5" t="str">
        <f aca="false">IF($P501&lt;&gt;"","Exclude",IF(AND($M501&lt;&gt;"Full address",$R501=""),"Needs address",IF($J501&lt;0.5,"Hold - low volume",IF(LEFT($W501,3)="Low","Verify address",IF($G501="Needs review","Needs premise review",IF($X501="Estimated","Ready - address estimated","Ready"))))))</f>
        <v>Needs address</v>
      </c>
      <c r="P501" s="5"/>
      <c r="Q501" s="5" t="s">
        <v>45</v>
      </c>
      <c r="R501" s="5"/>
      <c r="S501" s="5"/>
      <c r="T501" s="7"/>
      <c r="U501" s="7"/>
      <c r="V501" s="5"/>
      <c r="W501" s="5"/>
      <c r="X501" s="5" t="s">
        <v>3</v>
      </c>
      <c r="Y501" s="8" t="str">
        <f aca="false">IF($C501&lt;&gt;"",TRIM($C501&amp;", "&amp;$D501&amp;", "&amp;$E501&amp;" "&amp;$F501),IF($R501&lt;&gt;"",$R501,IF($D501&lt;&gt;"",$D501&amp;", "&amp;$E501,$I501)))</f>
        <v>Austin, TX</v>
      </c>
    </row>
    <row r="502" customFormat="false" ht="15" hidden="false" customHeight="true" outlineLevel="0" collapsed="false">
      <c r="A502" s="5" t="s">
        <v>1607</v>
      </c>
      <c r="B502" s="5" t="s">
        <v>1607</v>
      </c>
      <c r="C502" s="5"/>
      <c r="D502" s="5" t="s">
        <v>1435</v>
      </c>
      <c r="E502" s="5" t="s">
        <v>40</v>
      </c>
      <c r="F502" s="5"/>
      <c r="G502" s="5" t="s">
        <v>144</v>
      </c>
      <c r="H502" s="5" t="s">
        <v>157</v>
      </c>
      <c r="I502" s="5" t="s">
        <v>42</v>
      </c>
      <c r="J502" s="6" t="n">
        <v>0.17</v>
      </c>
      <c r="K502" s="5" t="s">
        <v>426</v>
      </c>
      <c r="L502" s="5" t="n">
        <f aca="false">IF($K502="",0,LEN($K502)-LEN(SUBSTITUTE($K502,",",""))+1)</f>
        <v>1</v>
      </c>
      <c r="M502" s="5" t="s">
        <v>44</v>
      </c>
      <c r="N502" s="5" t="str">
        <f aca="false">TRIM($A502&amp;" "&amp;IF($C502="",$R502,$C502&amp;" "&amp;$D502&amp;" "&amp;$E502&amp;" "&amp;$F502))</f>
        <v>Spec's #014 Louetta/Klein</v>
      </c>
      <c r="O502" s="5" t="str">
        <f aca="false">IF($P502&lt;&gt;"","Exclude",IF(AND($M502&lt;&gt;"Full address",$R502=""),"Needs address",IF($J502&lt;0.5,"Hold - low volume",IF(LEFT($W502,3)="Low","Verify address",IF($G502="Needs review","Needs premise review",IF($X502="Estimated","Ready - address estimated","Ready"))))))</f>
        <v>Needs address</v>
      </c>
      <c r="P502" s="5"/>
      <c r="Q502" s="5" t="s">
        <v>45</v>
      </c>
      <c r="R502" s="5"/>
      <c r="S502" s="5"/>
      <c r="T502" s="7"/>
      <c r="U502" s="7"/>
      <c r="V502" s="5"/>
      <c r="W502" s="5"/>
      <c r="X502" s="5" t="s">
        <v>3</v>
      </c>
      <c r="Y502" s="8" t="str">
        <f aca="false">IF($C502&lt;&gt;"",TRIM($C502&amp;", "&amp;$D502&amp;", "&amp;$E502&amp;" "&amp;$F502),IF($R502&lt;&gt;"",$R502,IF($D502&lt;&gt;"",$D502&amp;", "&amp;$E502,$I502)))</f>
        <v>Spring, TX</v>
      </c>
    </row>
    <row r="503" customFormat="false" ht="15" hidden="false" customHeight="true" outlineLevel="0" collapsed="false">
      <c r="A503" s="5" t="s">
        <v>1608</v>
      </c>
      <c r="B503" s="5" t="s">
        <v>1608</v>
      </c>
      <c r="C503" s="5"/>
      <c r="D503" s="5" t="s">
        <v>1609</v>
      </c>
      <c r="E503" s="5" t="s">
        <v>40</v>
      </c>
      <c r="F503" s="5"/>
      <c r="G503" s="5" t="s">
        <v>144</v>
      </c>
      <c r="H503" s="5" t="s">
        <v>157</v>
      </c>
      <c r="I503" s="5" t="s">
        <v>42</v>
      </c>
      <c r="J503" s="6" t="n">
        <v>0.17</v>
      </c>
      <c r="K503" s="5" t="s">
        <v>469</v>
      </c>
      <c r="L503" s="5" t="n">
        <f aca="false">IF($K503="",0,LEN($K503)-LEN(SUBSTITUTE($K503,",",""))+1)</f>
        <v>1</v>
      </c>
      <c r="M503" s="5" t="s">
        <v>44</v>
      </c>
      <c r="N503" s="5" t="str">
        <f aca="false">TRIM($A503&amp;" "&amp;IF($C503="",$R503,$C503&amp;" "&amp;$D503&amp;" "&amp;$E503&amp;" "&amp;$F503))</f>
        <v>Spec's #022 Atascocita</v>
      </c>
      <c r="O503" s="5" t="str">
        <f aca="false">IF($P503&lt;&gt;"","Exclude",IF(AND($M503&lt;&gt;"Full address",$R503=""),"Needs address",IF($J503&lt;0.5,"Hold - low volume",IF(LEFT($W503,3)="Low","Verify address",IF($G503="Needs review","Needs premise review",IF($X503="Estimated","Ready - address estimated","Ready"))))))</f>
        <v>Needs address</v>
      </c>
      <c r="P503" s="5"/>
      <c r="Q503" s="5" t="s">
        <v>45</v>
      </c>
      <c r="R503" s="5"/>
      <c r="S503" s="5"/>
      <c r="T503" s="7"/>
      <c r="U503" s="7"/>
      <c r="V503" s="5"/>
      <c r="W503" s="5"/>
      <c r="X503" s="5" t="s">
        <v>3</v>
      </c>
      <c r="Y503" s="8" t="str">
        <f aca="false">IF($C503&lt;&gt;"",TRIM($C503&amp;", "&amp;$D503&amp;", "&amp;$E503&amp;" "&amp;$F503),IF($R503&lt;&gt;"",$R503,IF($D503&lt;&gt;"",$D503&amp;", "&amp;$E503,$I503)))</f>
        <v>Atascocita, TX</v>
      </c>
    </row>
    <row r="504" customFormat="false" ht="15" hidden="false" customHeight="true" outlineLevel="0" collapsed="false">
      <c r="A504" s="5" t="s">
        <v>1610</v>
      </c>
      <c r="B504" s="5" t="s">
        <v>1610</v>
      </c>
      <c r="C504" s="5"/>
      <c r="D504" s="5" t="s">
        <v>1611</v>
      </c>
      <c r="E504" s="5" t="s">
        <v>40</v>
      </c>
      <c r="F504" s="5"/>
      <c r="G504" s="5" t="s">
        <v>144</v>
      </c>
      <c r="H504" s="5" t="s">
        <v>157</v>
      </c>
      <c r="I504" s="5" t="s">
        <v>42</v>
      </c>
      <c r="J504" s="6" t="n">
        <v>0.17</v>
      </c>
      <c r="K504" s="5" t="s">
        <v>469</v>
      </c>
      <c r="L504" s="5" t="n">
        <f aca="false">IF($K504="",0,LEN($K504)-LEN(SUBSTITUTE($K504,",",""))+1)</f>
        <v>1</v>
      </c>
      <c r="M504" s="5" t="s">
        <v>44</v>
      </c>
      <c r="N504" s="5" t="str">
        <f aca="false">TRIM($A504&amp;" "&amp;IF($C504="",$R504,$C504&amp;" "&amp;$D504&amp;" "&amp;$E504&amp;" "&amp;$F504))</f>
        <v>Spec's #025 Willis</v>
      </c>
      <c r="O504" s="5" t="str">
        <f aca="false">IF($P504&lt;&gt;"","Exclude",IF(AND($M504&lt;&gt;"Full address",$R504=""),"Needs address",IF($J504&lt;0.5,"Hold - low volume",IF(LEFT($W504,3)="Low","Verify address",IF($G504="Needs review","Needs premise review",IF($X504="Estimated","Ready - address estimated","Ready"))))))</f>
        <v>Needs address</v>
      </c>
      <c r="P504" s="5"/>
      <c r="Q504" s="5" t="s">
        <v>45</v>
      </c>
      <c r="R504" s="5"/>
      <c r="S504" s="5"/>
      <c r="T504" s="7"/>
      <c r="U504" s="7"/>
      <c r="V504" s="5"/>
      <c r="W504" s="5"/>
      <c r="X504" s="5" t="s">
        <v>3</v>
      </c>
      <c r="Y504" s="8" t="str">
        <f aca="false">IF($C504&lt;&gt;"",TRIM($C504&amp;", "&amp;$D504&amp;", "&amp;$E504&amp;" "&amp;$F504),IF($R504&lt;&gt;"",$R504,IF($D504&lt;&gt;"",$D504&amp;", "&amp;$E504,$I504)))</f>
        <v>Willis, TX</v>
      </c>
    </row>
    <row r="505" customFormat="false" ht="15" hidden="false" customHeight="true" outlineLevel="0" collapsed="false">
      <c r="A505" s="5" t="s">
        <v>1612</v>
      </c>
      <c r="B505" s="5" t="s">
        <v>1612</v>
      </c>
      <c r="C505" s="5"/>
      <c r="D505" s="5" t="s">
        <v>1613</v>
      </c>
      <c r="E505" s="5" t="s">
        <v>40</v>
      </c>
      <c r="F505" s="5"/>
      <c r="G505" s="5" t="s">
        <v>144</v>
      </c>
      <c r="H505" s="5" t="s">
        <v>157</v>
      </c>
      <c r="I505" s="5" t="s">
        <v>42</v>
      </c>
      <c r="J505" s="6" t="n">
        <v>0.17</v>
      </c>
      <c r="K505" s="5" t="s">
        <v>426</v>
      </c>
      <c r="L505" s="5" t="n">
        <f aca="false">IF($K505="",0,LEN($K505)-LEN(SUBSTITUTE($K505,",",""))+1)</f>
        <v>1</v>
      </c>
      <c r="M505" s="5" t="s">
        <v>44</v>
      </c>
      <c r="N505" s="5" t="str">
        <f aca="false">TRIM($A505&amp;" "&amp;IF($C505="",$R505,$C505&amp;" "&amp;$D505&amp;" "&amp;$E505&amp;" "&amp;$F505))</f>
        <v>Spec's #043 Sugar Creek</v>
      </c>
      <c r="O505" s="5" t="str">
        <f aca="false">IF($P505&lt;&gt;"","Exclude",IF(AND($M505&lt;&gt;"Full address",$R505=""),"Needs address",IF($J505&lt;0.5,"Hold - low volume",IF(LEFT($W505,3)="Low","Verify address",IF($G505="Needs review","Needs premise review",IF($X505="Estimated","Ready - address estimated","Ready"))))))</f>
        <v>Needs address</v>
      </c>
      <c r="P505" s="5"/>
      <c r="Q505" s="5" t="s">
        <v>45</v>
      </c>
      <c r="R505" s="5"/>
      <c r="S505" s="5"/>
      <c r="T505" s="7"/>
      <c r="U505" s="7"/>
      <c r="V505" s="5"/>
      <c r="W505" s="5"/>
      <c r="X505" s="5" t="s">
        <v>3</v>
      </c>
      <c r="Y505" s="8" t="str">
        <f aca="false">IF($C505&lt;&gt;"",TRIM($C505&amp;", "&amp;$D505&amp;", "&amp;$E505&amp;" "&amp;$F505),IF($R505&lt;&gt;"",$R505,IF($D505&lt;&gt;"",$D505&amp;", "&amp;$E505,$I505)))</f>
        <v>Sugar Land, TX</v>
      </c>
    </row>
    <row r="506" customFormat="false" ht="15" hidden="false" customHeight="true" outlineLevel="0" collapsed="false">
      <c r="A506" s="5" t="s">
        <v>1614</v>
      </c>
      <c r="B506" s="5" t="s">
        <v>1614</v>
      </c>
      <c r="C506" s="5"/>
      <c r="D506" s="5" t="s">
        <v>855</v>
      </c>
      <c r="E506" s="5" t="s">
        <v>40</v>
      </c>
      <c r="F506" s="5"/>
      <c r="G506" s="5" t="s">
        <v>144</v>
      </c>
      <c r="H506" s="5" t="s">
        <v>157</v>
      </c>
      <c r="I506" s="5" t="s">
        <v>42</v>
      </c>
      <c r="J506" s="6" t="n">
        <v>0.17</v>
      </c>
      <c r="K506" s="5" t="s">
        <v>76</v>
      </c>
      <c r="L506" s="5" t="n">
        <f aca="false">IF($K506="",0,LEN($K506)-LEN(SUBSTITUTE($K506,",",""))+1)</f>
        <v>1</v>
      </c>
      <c r="M506" s="5" t="s">
        <v>44</v>
      </c>
      <c r="N506" s="5" t="str">
        <f aca="false">TRIM($A506&amp;" "&amp;IF($C506="",$R506,$C506&amp;" "&amp;$D506&amp;" "&amp;$E506&amp;" "&amp;$F506))</f>
        <v>Spec's #046 Pearland</v>
      </c>
      <c r="O506" s="5" t="str">
        <f aca="false">IF($P506&lt;&gt;"","Exclude",IF(AND($M506&lt;&gt;"Full address",$R506=""),"Needs address",IF($J506&lt;0.5,"Hold - low volume",IF(LEFT($W506,3)="Low","Verify address",IF($G506="Needs review","Needs premise review",IF($X506="Estimated","Ready - address estimated","Ready"))))))</f>
        <v>Needs address</v>
      </c>
      <c r="P506" s="5"/>
      <c r="Q506" s="5" t="s">
        <v>45</v>
      </c>
      <c r="R506" s="5"/>
      <c r="S506" s="5"/>
      <c r="T506" s="7"/>
      <c r="U506" s="7"/>
      <c r="V506" s="5"/>
      <c r="W506" s="5"/>
      <c r="X506" s="5" t="s">
        <v>3</v>
      </c>
      <c r="Y506" s="8" t="str">
        <f aca="false">IF($C506&lt;&gt;"",TRIM($C506&amp;", "&amp;$D506&amp;", "&amp;$E506&amp;" "&amp;$F506),IF($R506&lt;&gt;"",$R506,IF($D506&lt;&gt;"",$D506&amp;", "&amp;$E506,$I506)))</f>
        <v>Houston, TX</v>
      </c>
    </row>
    <row r="507" customFormat="false" ht="15" hidden="false" customHeight="true" outlineLevel="0" collapsed="false">
      <c r="A507" s="5" t="s">
        <v>1615</v>
      </c>
      <c r="B507" s="5" t="s">
        <v>1615</v>
      </c>
      <c r="C507" s="5"/>
      <c r="D507" s="5" t="s">
        <v>855</v>
      </c>
      <c r="E507" s="5" t="s">
        <v>40</v>
      </c>
      <c r="F507" s="5"/>
      <c r="G507" s="5" t="s">
        <v>144</v>
      </c>
      <c r="H507" s="5" t="s">
        <v>157</v>
      </c>
      <c r="I507" s="5" t="s">
        <v>42</v>
      </c>
      <c r="J507" s="6" t="n">
        <v>0.17</v>
      </c>
      <c r="K507" s="5" t="s">
        <v>426</v>
      </c>
      <c r="L507" s="5" t="n">
        <f aca="false">IF($K507="",0,LEN($K507)-LEN(SUBSTITUTE($K507,",",""))+1)</f>
        <v>1</v>
      </c>
      <c r="M507" s="5" t="s">
        <v>44</v>
      </c>
      <c r="N507" s="5" t="str">
        <f aca="false">TRIM($A507&amp;" "&amp;IF($C507="",$R507,$C507&amp;" "&amp;$D507&amp;" "&amp;$E507&amp;" "&amp;$F507))</f>
        <v>Spec's #056 Spring Cypress</v>
      </c>
      <c r="O507" s="5" t="str">
        <f aca="false">IF($P507&lt;&gt;"","Exclude",IF(AND($M507&lt;&gt;"Full address",$R507=""),"Needs address",IF($J507&lt;0.5,"Hold - low volume",IF(LEFT($W507,3)="Low","Verify address",IF($G507="Needs review","Needs premise review",IF($X507="Estimated","Ready - address estimated","Ready"))))))</f>
        <v>Needs address</v>
      </c>
      <c r="P507" s="5"/>
      <c r="Q507" s="5" t="s">
        <v>45</v>
      </c>
      <c r="R507" s="5"/>
      <c r="S507" s="5"/>
      <c r="T507" s="7"/>
      <c r="U507" s="7"/>
      <c r="V507" s="5"/>
      <c r="W507" s="5"/>
      <c r="X507" s="5" t="s">
        <v>3</v>
      </c>
      <c r="Y507" s="8" t="str">
        <f aca="false">IF($C507&lt;&gt;"",TRIM($C507&amp;", "&amp;$D507&amp;", "&amp;$E507&amp;" "&amp;$F507),IF($R507&lt;&gt;"",$R507,IF($D507&lt;&gt;"",$D507&amp;", "&amp;$E507,$I507)))</f>
        <v>Houston, TX</v>
      </c>
    </row>
    <row r="508" customFormat="false" ht="15" hidden="false" customHeight="true" outlineLevel="0" collapsed="false">
      <c r="A508" s="5" t="s">
        <v>1616</v>
      </c>
      <c r="B508" s="5" t="s">
        <v>1616</v>
      </c>
      <c r="C508" s="5"/>
      <c r="D508" s="5" t="s">
        <v>1460</v>
      </c>
      <c r="E508" s="5" t="s">
        <v>40</v>
      </c>
      <c r="F508" s="5"/>
      <c r="G508" s="5" t="s">
        <v>144</v>
      </c>
      <c r="H508" s="5" t="s">
        <v>157</v>
      </c>
      <c r="I508" s="5" t="s">
        <v>42</v>
      </c>
      <c r="J508" s="6" t="n">
        <v>0.17</v>
      </c>
      <c r="K508" s="5" t="s">
        <v>426</v>
      </c>
      <c r="L508" s="5" t="n">
        <f aca="false">IF($K508="",0,LEN($K508)-LEN(SUBSTITUTE($K508,",",""))+1)</f>
        <v>1</v>
      </c>
      <c r="M508" s="5" t="s">
        <v>44</v>
      </c>
      <c r="N508" s="5" t="str">
        <f aca="false">TRIM($A508&amp;" "&amp;IF($C508="",$R508,$C508&amp;" "&amp;$D508&amp;" "&amp;$E508&amp;" "&amp;$F508))</f>
        <v>Spec's #057 CS University Dr</v>
      </c>
      <c r="O508" s="5" t="str">
        <f aca="false">IF($P508&lt;&gt;"","Exclude",IF(AND($M508&lt;&gt;"Full address",$R508=""),"Needs address",IF($J508&lt;0.5,"Hold - low volume",IF(LEFT($W508,3)="Low","Verify address",IF($G508="Needs review","Needs premise review",IF($X508="Estimated","Ready - address estimated","Ready"))))))</f>
        <v>Needs address</v>
      </c>
      <c r="P508" s="5"/>
      <c r="Q508" s="5" t="s">
        <v>45</v>
      </c>
      <c r="R508" s="5"/>
      <c r="S508" s="5"/>
      <c r="T508" s="7"/>
      <c r="U508" s="7"/>
      <c r="V508" s="5"/>
      <c r="W508" s="5"/>
      <c r="X508" s="5" t="s">
        <v>3</v>
      </c>
      <c r="Y508" s="8" t="str">
        <f aca="false">IF($C508&lt;&gt;"",TRIM($C508&amp;", "&amp;$D508&amp;", "&amp;$E508&amp;" "&amp;$F508),IF($R508&lt;&gt;"",$R508,IF($D508&lt;&gt;"",$D508&amp;", "&amp;$E508,$I508)))</f>
        <v>College Station, TX</v>
      </c>
    </row>
    <row r="509" customFormat="false" ht="15" hidden="false" customHeight="true" outlineLevel="0" collapsed="false">
      <c r="A509" s="5" t="s">
        <v>1617</v>
      </c>
      <c r="B509" s="5" t="s">
        <v>1617</v>
      </c>
      <c r="C509" s="5"/>
      <c r="D509" s="5" t="s">
        <v>1618</v>
      </c>
      <c r="E509" s="5" t="s">
        <v>40</v>
      </c>
      <c r="F509" s="5"/>
      <c r="G509" s="5" t="s">
        <v>144</v>
      </c>
      <c r="H509" s="5" t="s">
        <v>157</v>
      </c>
      <c r="I509" s="5" t="s">
        <v>42</v>
      </c>
      <c r="J509" s="6" t="n">
        <v>0.17</v>
      </c>
      <c r="K509" s="5" t="s">
        <v>426</v>
      </c>
      <c r="L509" s="5" t="n">
        <f aca="false">IF($K509="",0,LEN($K509)-LEN(SUBSTITUTE($K509,",",""))+1)</f>
        <v>1</v>
      </c>
      <c r="M509" s="5" t="s">
        <v>44</v>
      </c>
      <c r="N509" s="5" t="str">
        <f aca="false">TRIM($A509&amp;" "&amp;IF($C509="",$R509,$C509&amp;" "&amp;$D509&amp;" "&amp;$E509&amp;" "&amp;$F509))</f>
        <v>Spec's #067 Victoria</v>
      </c>
      <c r="O509" s="5" t="str">
        <f aca="false">IF($P509&lt;&gt;"","Exclude",IF(AND($M509&lt;&gt;"Full address",$R509=""),"Needs address",IF($J509&lt;0.5,"Hold - low volume",IF(LEFT($W509,3)="Low","Verify address",IF($G509="Needs review","Needs premise review",IF($X509="Estimated","Ready - address estimated","Ready"))))))</f>
        <v>Needs address</v>
      </c>
      <c r="P509" s="5"/>
      <c r="Q509" s="5" t="s">
        <v>45</v>
      </c>
      <c r="R509" s="5"/>
      <c r="S509" s="5"/>
      <c r="T509" s="7"/>
      <c r="U509" s="7"/>
      <c r="V509" s="5"/>
      <c r="W509" s="5"/>
      <c r="X509" s="5" t="s">
        <v>3</v>
      </c>
      <c r="Y509" s="8" t="str">
        <f aca="false">IF($C509&lt;&gt;"",TRIM($C509&amp;", "&amp;$D509&amp;", "&amp;$E509&amp;" "&amp;$F509),IF($R509&lt;&gt;"",$R509,IF($D509&lt;&gt;"",$D509&amp;", "&amp;$E509,$I509)))</f>
        <v>Victoria, TX</v>
      </c>
    </row>
    <row r="510" customFormat="false" ht="15" hidden="false" customHeight="true" outlineLevel="0" collapsed="false">
      <c r="A510" s="5" t="s">
        <v>1619</v>
      </c>
      <c r="B510" s="5" t="s">
        <v>1619</v>
      </c>
      <c r="C510" s="5"/>
      <c r="D510" s="5" t="s">
        <v>1620</v>
      </c>
      <c r="E510" s="5" t="s">
        <v>40</v>
      </c>
      <c r="F510" s="5"/>
      <c r="G510" s="5" t="s">
        <v>144</v>
      </c>
      <c r="H510" s="5" t="s">
        <v>360</v>
      </c>
      <c r="I510" s="5" t="s">
        <v>42</v>
      </c>
      <c r="J510" s="6" t="n">
        <v>0.17</v>
      </c>
      <c r="K510" s="5" t="s">
        <v>76</v>
      </c>
      <c r="L510" s="5" t="n">
        <f aca="false">IF($K510="",0,LEN($K510)-LEN(SUBSTITUTE($K510,",",""))+1)</f>
        <v>1</v>
      </c>
      <c r="M510" s="5" t="s">
        <v>44</v>
      </c>
      <c r="N510" s="5" t="str">
        <f aca="false">TRIM($A510&amp;" "&amp;IF($C510="",$R510,$C510&amp;" "&amp;$D510&amp;" "&amp;$E510&amp;" "&amp;$F510))</f>
        <v>Spec's #069 Live Oak / Selma</v>
      </c>
      <c r="O510" s="5" t="str">
        <f aca="false">IF($P510&lt;&gt;"","Exclude",IF(AND($M510&lt;&gt;"Full address",$R510=""),"Needs address",IF($J510&lt;0.5,"Hold - low volume",IF(LEFT($W510,3)="Low","Verify address",IF($G510="Needs review","Needs premise review",IF($X510="Estimated","Ready - address estimated","Ready"))))))</f>
        <v>Needs address</v>
      </c>
      <c r="P510" s="5"/>
      <c r="Q510" s="5" t="s">
        <v>45</v>
      </c>
      <c r="R510" s="5"/>
      <c r="S510" s="5"/>
      <c r="T510" s="7"/>
      <c r="U510" s="7"/>
      <c r="V510" s="5"/>
      <c r="W510" s="5"/>
      <c r="X510" s="5" t="s">
        <v>3</v>
      </c>
      <c r="Y510" s="8" t="str">
        <f aca="false">IF($C510&lt;&gt;"",TRIM($C510&amp;", "&amp;$D510&amp;", "&amp;$E510&amp;" "&amp;$F510),IF($R510&lt;&gt;"",$R510,IF($D510&lt;&gt;"",$D510&amp;", "&amp;$E510,$I510)))</f>
        <v>Live Oak, TX</v>
      </c>
    </row>
    <row r="511" customFormat="false" ht="15" hidden="false" customHeight="true" outlineLevel="0" collapsed="false">
      <c r="A511" s="5" t="s">
        <v>1621</v>
      </c>
      <c r="B511" s="5" t="s">
        <v>1621</v>
      </c>
      <c r="C511" s="5"/>
      <c r="D511" s="5" t="s">
        <v>1622</v>
      </c>
      <c r="E511" s="5" t="s">
        <v>40</v>
      </c>
      <c r="F511" s="5"/>
      <c r="G511" s="5" t="s">
        <v>144</v>
      </c>
      <c r="H511" s="5" t="s">
        <v>360</v>
      </c>
      <c r="I511" s="5" t="s">
        <v>42</v>
      </c>
      <c r="J511" s="6" t="n">
        <v>0.17</v>
      </c>
      <c r="K511" s="5" t="s">
        <v>426</v>
      </c>
      <c r="L511" s="5" t="n">
        <f aca="false">IF($K511="",0,LEN($K511)-LEN(SUBSTITUTE($K511,",",""))+1)</f>
        <v>1</v>
      </c>
      <c r="M511" s="5" t="s">
        <v>44</v>
      </c>
      <c r="N511" s="5" t="str">
        <f aca="false">TRIM($A511&amp;" "&amp;IF($C511="",$R511,$C511&amp;" "&amp;$D511&amp;" "&amp;$E511&amp;" "&amp;$F511))</f>
        <v>Spec's #074 Kerrville</v>
      </c>
      <c r="O511" s="5" t="str">
        <f aca="false">IF($P511&lt;&gt;"","Exclude",IF(AND($M511&lt;&gt;"Full address",$R511=""),"Needs address",IF($J511&lt;0.5,"Hold - low volume",IF(LEFT($W511,3)="Low","Verify address",IF($G511="Needs review","Needs premise review",IF($X511="Estimated","Ready - address estimated","Ready"))))))</f>
        <v>Needs address</v>
      </c>
      <c r="P511" s="5"/>
      <c r="Q511" s="5" t="s">
        <v>45</v>
      </c>
      <c r="R511" s="5"/>
      <c r="S511" s="5"/>
      <c r="T511" s="7"/>
      <c r="U511" s="7"/>
      <c r="V511" s="5"/>
      <c r="W511" s="5"/>
      <c r="X511" s="5" t="s">
        <v>3</v>
      </c>
      <c r="Y511" s="8" t="str">
        <f aca="false">IF($C511&lt;&gt;"",TRIM($C511&amp;", "&amp;$D511&amp;", "&amp;$E511&amp;" "&amp;$F511),IF($R511&lt;&gt;"",$R511,IF($D511&lt;&gt;"",$D511&amp;", "&amp;$E511,$I511)))</f>
        <v>Kerrville, TX</v>
      </c>
    </row>
    <row r="512" customFormat="false" ht="15" hidden="false" customHeight="true" outlineLevel="0" collapsed="false">
      <c r="A512" s="5" t="s">
        <v>1623</v>
      </c>
      <c r="B512" s="5" t="s">
        <v>1623</v>
      </c>
      <c r="C512" s="5"/>
      <c r="D512" s="5" t="s">
        <v>1624</v>
      </c>
      <c r="E512" s="5" t="s">
        <v>40</v>
      </c>
      <c r="F512" s="5"/>
      <c r="G512" s="5" t="s">
        <v>144</v>
      </c>
      <c r="H512" s="5" t="s">
        <v>360</v>
      </c>
      <c r="I512" s="5" t="s">
        <v>42</v>
      </c>
      <c r="J512" s="6" t="n">
        <v>0.17</v>
      </c>
      <c r="K512" s="5" t="s">
        <v>76</v>
      </c>
      <c r="L512" s="5" t="n">
        <f aca="false">IF($K512="",0,LEN($K512)-LEN(SUBSTITUTE($K512,",",""))+1)</f>
        <v>1</v>
      </c>
      <c r="M512" s="5" t="s">
        <v>44</v>
      </c>
      <c r="N512" s="5" t="str">
        <f aca="false">TRIM($A512&amp;" "&amp;IF($C512="",$R512,$C512&amp;" "&amp;$D512&amp;" "&amp;$E512&amp;" "&amp;$F512))</f>
        <v>Spec's #078 McAllen Trenton &amp; 10th</v>
      </c>
      <c r="O512" s="5" t="str">
        <f aca="false">IF($P512&lt;&gt;"","Exclude",IF(AND($M512&lt;&gt;"Full address",$R512=""),"Needs address",IF($J512&lt;0.5,"Hold - low volume",IF(LEFT($W512,3)="Low","Verify address",IF($G512="Needs review","Needs premise review",IF($X512="Estimated","Ready - address estimated","Ready"))))))</f>
        <v>Needs address</v>
      </c>
      <c r="P512" s="5"/>
      <c r="Q512" s="5" t="s">
        <v>45</v>
      </c>
      <c r="R512" s="5"/>
      <c r="S512" s="5"/>
      <c r="T512" s="7"/>
      <c r="U512" s="7"/>
      <c r="V512" s="5"/>
      <c r="W512" s="5"/>
      <c r="X512" s="5" t="s">
        <v>3</v>
      </c>
      <c r="Y512" s="8" t="str">
        <f aca="false">IF($C512&lt;&gt;"",TRIM($C512&amp;", "&amp;$D512&amp;", "&amp;$E512&amp;" "&amp;$F512),IF($R512&lt;&gt;"",$R512,IF($D512&lt;&gt;"",$D512&amp;", "&amp;$E512,$I512)))</f>
        <v>Mcallen, TX</v>
      </c>
    </row>
    <row r="513" customFormat="false" ht="15" hidden="false" customHeight="true" outlineLevel="0" collapsed="false">
      <c r="A513" s="5" t="s">
        <v>1625</v>
      </c>
      <c r="B513" s="5" t="s">
        <v>1625</v>
      </c>
      <c r="C513" s="5"/>
      <c r="D513" s="5" t="s">
        <v>855</v>
      </c>
      <c r="E513" s="5" t="s">
        <v>40</v>
      </c>
      <c r="F513" s="5"/>
      <c r="G513" s="5" t="s">
        <v>144</v>
      </c>
      <c r="H513" s="5" t="s">
        <v>157</v>
      </c>
      <c r="I513" s="5" t="s">
        <v>42</v>
      </c>
      <c r="J513" s="6" t="n">
        <v>0.17</v>
      </c>
      <c r="K513" s="5" t="s">
        <v>426</v>
      </c>
      <c r="L513" s="5" t="n">
        <f aca="false">IF($K513="",0,LEN($K513)-LEN(SUBSTITUTE($K513,",",""))+1)</f>
        <v>1</v>
      </c>
      <c r="M513" s="5" t="s">
        <v>44</v>
      </c>
      <c r="N513" s="5" t="str">
        <f aca="false">TRIM($A513&amp;" "&amp;IF($C513="",$R513,$C513&amp;" "&amp;$D513&amp;" "&amp;$E513&amp;" "&amp;$F513))</f>
        <v>Spec's #081 Shepherd</v>
      </c>
      <c r="O513" s="5" t="str">
        <f aca="false">IF($P513&lt;&gt;"","Exclude",IF(AND($M513&lt;&gt;"Full address",$R513=""),"Needs address",IF($J513&lt;0.5,"Hold - low volume",IF(LEFT($W513,3)="Low","Verify address",IF($G513="Needs review","Needs premise review",IF($X513="Estimated","Ready - address estimated","Ready"))))))</f>
        <v>Needs address</v>
      </c>
      <c r="P513" s="5"/>
      <c r="Q513" s="5" t="s">
        <v>45</v>
      </c>
      <c r="R513" s="5"/>
      <c r="S513" s="5"/>
      <c r="T513" s="7"/>
      <c r="U513" s="7"/>
      <c r="V513" s="5"/>
      <c r="W513" s="5"/>
      <c r="X513" s="5" t="s">
        <v>3</v>
      </c>
      <c r="Y513" s="8" t="str">
        <f aca="false">IF($C513&lt;&gt;"",TRIM($C513&amp;", "&amp;$D513&amp;", "&amp;$E513&amp;" "&amp;$F513),IF($R513&lt;&gt;"",$R513,IF($D513&lt;&gt;"",$D513&amp;", "&amp;$E513,$I513)))</f>
        <v>Houston, TX</v>
      </c>
    </row>
    <row r="514" customFormat="false" ht="15" hidden="false" customHeight="true" outlineLevel="0" collapsed="false">
      <c r="A514" s="5" t="s">
        <v>1626</v>
      </c>
      <c r="B514" s="5" t="s">
        <v>1626</v>
      </c>
      <c r="C514" s="5"/>
      <c r="D514" s="5" t="s">
        <v>1350</v>
      </c>
      <c r="E514" s="5" t="s">
        <v>40</v>
      </c>
      <c r="F514" s="5"/>
      <c r="G514" s="5" t="s">
        <v>144</v>
      </c>
      <c r="H514" s="5" t="s">
        <v>157</v>
      </c>
      <c r="I514" s="5" t="s">
        <v>42</v>
      </c>
      <c r="J514" s="6" t="n">
        <v>0.17</v>
      </c>
      <c r="K514" s="5" t="s">
        <v>76</v>
      </c>
      <c r="L514" s="5" t="n">
        <f aca="false">IF($K514="",0,LEN($K514)-LEN(SUBSTITUTE($K514,",",""))+1)</f>
        <v>1</v>
      </c>
      <c r="M514" s="5" t="s">
        <v>44</v>
      </c>
      <c r="N514" s="5" t="str">
        <f aca="false">TRIM($A514&amp;" "&amp;IF($C514="",$R514,$C514&amp;" "&amp;$D514&amp;" "&amp;$E514&amp;" "&amp;$F514))</f>
        <v>Spec's #087 Yorktown</v>
      </c>
      <c r="O514" s="5" t="str">
        <f aca="false">IF($P514&lt;&gt;"","Exclude",IF(AND($M514&lt;&gt;"Full address",$R514=""),"Needs address",IF($J514&lt;0.5,"Hold - low volume",IF(LEFT($W514,3)="Low","Verify address",IF($G514="Needs review","Needs premise review",IF($X514="Estimated","Ready - address estimated","Ready"))))))</f>
        <v>Needs address</v>
      </c>
      <c r="P514" s="5"/>
      <c r="Q514" s="5" t="s">
        <v>45</v>
      </c>
      <c r="R514" s="5"/>
      <c r="S514" s="5"/>
      <c r="T514" s="7"/>
      <c r="U514" s="7"/>
      <c r="V514" s="5"/>
      <c r="W514" s="5"/>
      <c r="X514" s="5" t="s">
        <v>3</v>
      </c>
      <c r="Y514" s="8" t="str">
        <f aca="false">IF($C514&lt;&gt;"",TRIM($C514&amp;", "&amp;$D514&amp;", "&amp;$E514&amp;" "&amp;$F514),IF($R514&lt;&gt;"",$R514,IF($D514&lt;&gt;"",$D514&amp;", "&amp;$E514,$I514)))</f>
        <v>Corpus Christi, TX</v>
      </c>
    </row>
    <row r="515" customFormat="false" ht="15" hidden="false" customHeight="true" outlineLevel="0" collapsed="false">
      <c r="A515" s="5" t="s">
        <v>1627</v>
      </c>
      <c r="B515" s="5" t="s">
        <v>1627</v>
      </c>
      <c r="C515" s="5"/>
      <c r="D515" s="5" t="s">
        <v>1628</v>
      </c>
      <c r="E515" s="5" t="s">
        <v>40</v>
      </c>
      <c r="F515" s="5"/>
      <c r="G515" s="5" t="s">
        <v>144</v>
      </c>
      <c r="H515" s="5" t="s">
        <v>360</v>
      </c>
      <c r="I515" s="5" t="s">
        <v>42</v>
      </c>
      <c r="J515" s="6" t="n">
        <v>0.17</v>
      </c>
      <c r="K515" s="5" t="s">
        <v>426</v>
      </c>
      <c r="L515" s="5" t="n">
        <f aca="false">IF($K515="",0,LEN($K515)-LEN(SUBSTITUTE($K515,",",""))+1)</f>
        <v>1</v>
      </c>
      <c r="M515" s="5" t="s">
        <v>44</v>
      </c>
      <c r="N515" s="5" t="str">
        <f aca="false">TRIM($A515&amp;" "&amp;IF($C515="",$R515,$C515&amp;" "&amp;$D515&amp;" "&amp;$E515&amp;" "&amp;$F515))</f>
        <v>Spec's #112 Marble Falls</v>
      </c>
      <c r="O515" s="5" t="str">
        <f aca="false">IF($P515&lt;&gt;"","Exclude",IF(AND($M515&lt;&gt;"Full address",$R515=""),"Needs address",IF($J515&lt;0.5,"Hold - low volume",IF(LEFT($W515,3)="Low","Verify address",IF($G515="Needs review","Needs premise review",IF($X515="Estimated","Ready - address estimated","Ready"))))))</f>
        <v>Needs address</v>
      </c>
      <c r="P515" s="5"/>
      <c r="Q515" s="5" t="s">
        <v>45</v>
      </c>
      <c r="R515" s="5"/>
      <c r="S515" s="5"/>
      <c r="T515" s="7"/>
      <c r="U515" s="7"/>
      <c r="V515" s="5"/>
      <c r="W515" s="5"/>
      <c r="X515" s="5" t="s">
        <v>3</v>
      </c>
      <c r="Y515" s="8" t="str">
        <f aca="false">IF($C515&lt;&gt;"",TRIM($C515&amp;", "&amp;$D515&amp;", "&amp;$E515&amp;" "&amp;$F515),IF($R515&lt;&gt;"",$R515,IF($D515&lt;&gt;"",$D515&amp;", "&amp;$E515,$I515)))</f>
        <v>Marble Falls, TX</v>
      </c>
    </row>
    <row r="516" customFormat="false" ht="15" hidden="false" customHeight="true" outlineLevel="0" collapsed="false">
      <c r="A516" s="5" t="s">
        <v>1629</v>
      </c>
      <c r="B516" s="5" t="s">
        <v>1629</v>
      </c>
      <c r="C516" s="5"/>
      <c r="D516" s="5" t="s">
        <v>354</v>
      </c>
      <c r="E516" s="5" t="s">
        <v>40</v>
      </c>
      <c r="F516" s="5"/>
      <c r="G516" s="5" t="s">
        <v>144</v>
      </c>
      <c r="H516" s="5" t="s">
        <v>41</v>
      </c>
      <c r="I516" s="5" t="s">
        <v>42</v>
      </c>
      <c r="J516" s="6" t="n">
        <v>0.17</v>
      </c>
      <c r="K516" s="5" t="s">
        <v>426</v>
      </c>
      <c r="L516" s="5" t="n">
        <f aca="false">IF($K516="",0,LEN($K516)-LEN(SUBSTITUTE($K516,",",""))+1)</f>
        <v>1</v>
      </c>
      <c r="M516" s="5" t="s">
        <v>44</v>
      </c>
      <c r="N516" s="5" t="str">
        <f aca="false">TRIM($A516&amp;" "&amp;IF($C516="",$R516,$C516&amp;" "&amp;$D516&amp;" "&amp;$E516&amp;" "&amp;$F516))</f>
        <v>Spec's #115 Northwest Highway</v>
      </c>
      <c r="O516" s="5" t="str">
        <f aca="false">IF($P516&lt;&gt;"","Exclude",IF(AND($M516&lt;&gt;"Full address",$R516=""),"Needs address",IF($J516&lt;0.5,"Hold - low volume",IF(LEFT($W516,3)="Low","Verify address",IF($G516="Needs review","Needs premise review",IF($X516="Estimated","Ready - address estimated","Ready"))))))</f>
        <v>Needs address</v>
      </c>
      <c r="P516" s="5"/>
      <c r="Q516" s="5" t="s">
        <v>45</v>
      </c>
      <c r="R516" s="5"/>
      <c r="S516" s="5"/>
      <c r="T516" s="7"/>
      <c r="U516" s="7"/>
      <c r="V516" s="5"/>
      <c r="W516" s="5"/>
      <c r="X516" s="5" t="s">
        <v>3</v>
      </c>
      <c r="Y516" s="8" t="str">
        <f aca="false">IF($C516&lt;&gt;"",TRIM($C516&amp;", "&amp;$D516&amp;", "&amp;$E516&amp;" "&amp;$F516),IF($R516&lt;&gt;"",$R516,IF($D516&lt;&gt;"",$D516&amp;", "&amp;$E516,$I516)))</f>
        <v>Dallas, TX</v>
      </c>
    </row>
    <row r="517" customFormat="false" ht="15" hidden="false" customHeight="true" outlineLevel="0" collapsed="false">
      <c r="A517" s="5" t="s">
        <v>1630</v>
      </c>
      <c r="B517" s="5" t="s">
        <v>1630</v>
      </c>
      <c r="C517" s="5"/>
      <c r="D517" s="5" t="s">
        <v>1319</v>
      </c>
      <c r="E517" s="5" t="s">
        <v>40</v>
      </c>
      <c r="F517" s="5"/>
      <c r="G517" s="5" t="s">
        <v>144</v>
      </c>
      <c r="H517" s="5" t="s">
        <v>157</v>
      </c>
      <c r="I517" s="5" t="s">
        <v>42</v>
      </c>
      <c r="J517" s="6" t="n">
        <v>0.17</v>
      </c>
      <c r="K517" s="5" t="s">
        <v>426</v>
      </c>
      <c r="L517" s="5" t="n">
        <f aca="false">IF($K517="",0,LEN($K517)-LEN(SUBSTITUTE($K517,",",""))+1)</f>
        <v>1</v>
      </c>
      <c r="M517" s="5" t="s">
        <v>44</v>
      </c>
      <c r="N517" s="5" t="str">
        <f aca="false">TRIM($A517&amp;" "&amp;IF($C517="",$R517,$C517&amp;" "&amp;$D517&amp;" "&amp;$E517&amp;" "&amp;$F517))</f>
        <v>Spec's #121 Lacy Lakeview</v>
      </c>
      <c r="O517" s="5" t="str">
        <f aca="false">IF($P517&lt;&gt;"","Exclude",IF(AND($M517&lt;&gt;"Full address",$R517=""),"Needs address",IF($J517&lt;0.5,"Hold - low volume",IF(LEFT($W517,3)="Low","Verify address",IF($G517="Needs review","Needs premise review",IF($X517="Estimated","Ready - address estimated","Ready"))))))</f>
        <v>Needs address</v>
      </c>
      <c r="P517" s="5"/>
      <c r="Q517" s="5" t="s">
        <v>45</v>
      </c>
      <c r="R517" s="5"/>
      <c r="S517" s="5"/>
      <c r="T517" s="7"/>
      <c r="U517" s="7"/>
      <c r="V517" s="5"/>
      <c r="W517" s="5"/>
      <c r="X517" s="5" t="s">
        <v>3</v>
      </c>
      <c r="Y517" s="8" t="str">
        <f aca="false">IF($C517&lt;&gt;"",TRIM($C517&amp;", "&amp;$D517&amp;", "&amp;$E517&amp;" "&amp;$F517),IF($R517&lt;&gt;"",$R517,IF($D517&lt;&gt;"",$D517&amp;", "&amp;$E517,$I517)))</f>
        <v>Waco, TX</v>
      </c>
    </row>
    <row r="518" customFormat="false" ht="15" hidden="false" customHeight="true" outlineLevel="0" collapsed="false">
      <c r="A518" s="5" t="s">
        <v>1631</v>
      </c>
      <c r="B518" s="5" t="s">
        <v>1631</v>
      </c>
      <c r="C518" s="5"/>
      <c r="D518" s="5" t="s">
        <v>1632</v>
      </c>
      <c r="E518" s="5" t="s">
        <v>40</v>
      </c>
      <c r="F518" s="5"/>
      <c r="G518" s="5" t="s">
        <v>144</v>
      </c>
      <c r="H518" s="5" t="s">
        <v>41</v>
      </c>
      <c r="I518" s="5" t="s">
        <v>42</v>
      </c>
      <c r="J518" s="6" t="n">
        <v>0.17</v>
      </c>
      <c r="K518" s="5" t="s">
        <v>426</v>
      </c>
      <c r="L518" s="5" t="n">
        <f aca="false">IF($K518="",0,LEN($K518)-LEN(SUBSTITUTE($K518,",",""))+1)</f>
        <v>1</v>
      </c>
      <c r="M518" s="5" t="s">
        <v>44</v>
      </c>
      <c r="N518" s="5" t="str">
        <f aca="false">TRIM($A518&amp;" "&amp;IF($C518="",$R518,$C518&amp;" "&amp;$D518&amp;" "&amp;$E518&amp;" "&amp;$F518))</f>
        <v>Spec's #123 Denton</v>
      </c>
      <c r="O518" s="5" t="str">
        <f aca="false">IF($P518&lt;&gt;"","Exclude",IF(AND($M518&lt;&gt;"Full address",$R518=""),"Needs address",IF($J518&lt;0.5,"Hold - low volume",IF(LEFT($W518,3)="Low","Verify address",IF($G518="Needs review","Needs premise review",IF($X518="Estimated","Ready - address estimated","Ready"))))))</f>
        <v>Needs address</v>
      </c>
      <c r="P518" s="5"/>
      <c r="Q518" s="5" t="s">
        <v>45</v>
      </c>
      <c r="R518" s="5"/>
      <c r="S518" s="5"/>
      <c r="T518" s="7"/>
      <c r="U518" s="7"/>
      <c r="V518" s="5"/>
      <c r="W518" s="5"/>
      <c r="X518" s="5" t="s">
        <v>3</v>
      </c>
      <c r="Y518" s="8" t="str">
        <f aca="false">IF($C518&lt;&gt;"",TRIM($C518&amp;", "&amp;$D518&amp;", "&amp;$E518&amp;" "&amp;$F518),IF($R518&lt;&gt;"",$R518,IF($D518&lt;&gt;"",$D518&amp;", "&amp;$E518,$I518)))</f>
        <v>Denton, TX</v>
      </c>
    </row>
    <row r="519" customFormat="false" ht="15" hidden="false" customHeight="true" outlineLevel="0" collapsed="false">
      <c r="A519" s="5" t="s">
        <v>1633</v>
      </c>
      <c r="B519" s="5" t="s">
        <v>1633</v>
      </c>
      <c r="C519" s="5"/>
      <c r="D519" s="5" t="s">
        <v>1634</v>
      </c>
      <c r="E519" s="5" t="s">
        <v>40</v>
      </c>
      <c r="F519" s="5"/>
      <c r="G519" s="5" t="s">
        <v>144</v>
      </c>
      <c r="H519" s="5" t="s">
        <v>360</v>
      </c>
      <c r="I519" s="5" t="s">
        <v>42</v>
      </c>
      <c r="J519" s="6" t="n">
        <v>0.17</v>
      </c>
      <c r="K519" s="5" t="s">
        <v>76</v>
      </c>
      <c r="L519" s="5" t="n">
        <f aca="false">IF($K519="",0,LEN($K519)-LEN(SUBSTITUTE($K519,",",""))+1)</f>
        <v>1</v>
      </c>
      <c r="M519" s="5" t="s">
        <v>44</v>
      </c>
      <c r="N519" s="5" t="str">
        <f aca="false">TRIM($A519&amp;" "&amp;IF($C519="",$R519,$C519&amp;" "&amp;$D519&amp;" "&amp;$E519&amp;" "&amp;$F519))</f>
        <v>Spec's #129 Schertz</v>
      </c>
      <c r="O519" s="5" t="str">
        <f aca="false">IF($P519&lt;&gt;"","Exclude",IF(AND($M519&lt;&gt;"Full address",$R519=""),"Needs address",IF($J519&lt;0.5,"Hold - low volume",IF(LEFT($W519,3)="Low","Verify address",IF($G519="Needs review","Needs premise review",IF($X519="Estimated","Ready - address estimated","Ready"))))))</f>
        <v>Needs address</v>
      </c>
      <c r="P519" s="5"/>
      <c r="Q519" s="5" t="s">
        <v>45</v>
      </c>
      <c r="R519" s="5"/>
      <c r="S519" s="5"/>
      <c r="T519" s="7"/>
      <c r="U519" s="7"/>
      <c r="V519" s="5"/>
      <c r="W519" s="5"/>
      <c r="X519" s="5" t="s">
        <v>3</v>
      </c>
      <c r="Y519" s="8" t="str">
        <f aca="false">IF($C519&lt;&gt;"",TRIM($C519&amp;", "&amp;$D519&amp;", "&amp;$E519&amp;" "&amp;$F519),IF($R519&lt;&gt;"",$R519,IF($D519&lt;&gt;"",$D519&amp;", "&amp;$E519,$I519)))</f>
        <v>Schertz, TX</v>
      </c>
    </row>
    <row r="520" customFormat="false" ht="15" hidden="false" customHeight="true" outlineLevel="0" collapsed="false">
      <c r="A520" s="5" t="s">
        <v>1635</v>
      </c>
      <c r="B520" s="5" t="s">
        <v>1635</v>
      </c>
      <c r="C520" s="5"/>
      <c r="D520" s="5" t="s">
        <v>897</v>
      </c>
      <c r="E520" s="5" t="s">
        <v>40</v>
      </c>
      <c r="F520" s="5"/>
      <c r="G520" s="5" t="s">
        <v>144</v>
      </c>
      <c r="H520" s="5" t="s">
        <v>157</v>
      </c>
      <c r="I520" s="5" t="s">
        <v>42</v>
      </c>
      <c r="J520" s="6" t="n">
        <v>0.17</v>
      </c>
      <c r="K520" s="5" t="s">
        <v>76</v>
      </c>
      <c r="L520" s="5" t="n">
        <f aca="false">IF($K520="",0,LEN($K520)-LEN(SUBSTITUTE($K520,",",""))+1)</f>
        <v>1</v>
      </c>
      <c r="M520" s="5" t="s">
        <v>44</v>
      </c>
      <c r="N520" s="5" t="str">
        <f aca="false">TRIM($A520&amp;" "&amp;IF($C520="",$R520,$C520&amp;" "&amp;$D520&amp;" "&amp;$E520&amp;" "&amp;$F520))</f>
        <v>Spec's #140 Fulshear</v>
      </c>
      <c r="O520" s="5" t="str">
        <f aca="false">IF($P520&lt;&gt;"","Exclude",IF(AND($M520&lt;&gt;"Full address",$R520=""),"Needs address",IF($J520&lt;0.5,"Hold - low volume",IF(LEFT($W520,3)="Low","Verify address",IF($G520="Needs review","Needs premise review",IF($X520="Estimated","Ready - address estimated","Ready"))))))</f>
        <v>Needs address</v>
      </c>
      <c r="P520" s="5"/>
      <c r="Q520" s="5" t="s">
        <v>45</v>
      </c>
      <c r="R520" s="5"/>
      <c r="S520" s="5"/>
      <c r="T520" s="7"/>
      <c r="U520" s="7"/>
      <c r="V520" s="5"/>
      <c r="W520" s="5"/>
      <c r="X520" s="5" t="s">
        <v>3</v>
      </c>
      <c r="Y520" s="8" t="str">
        <f aca="false">IF($C520&lt;&gt;"",TRIM($C520&amp;", "&amp;$D520&amp;", "&amp;$E520&amp;" "&amp;$F520),IF($R520&lt;&gt;"",$R520,IF($D520&lt;&gt;"",$D520&amp;", "&amp;$E520,$I520)))</f>
        <v>Richmond, TX</v>
      </c>
    </row>
    <row r="521" customFormat="false" ht="15" hidden="false" customHeight="true" outlineLevel="0" collapsed="false">
      <c r="A521" s="5" t="s">
        <v>1636</v>
      </c>
      <c r="B521" s="5" t="s">
        <v>1636</v>
      </c>
      <c r="C521" s="5"/>
      <c r="D521" s="5" t="s">
        <v>132</v>
      </c>
      <c r="E521" s="5" t="s">
        <v>40</v>
      </c>
      <c r="F521" s="5"/>
      <c r="G521" s="5" t="s">
        <v>144</v>
      </c>
      <c r="H521" s="5" t="s">
        <v>41</v>
      </c>
      <c r="I521" s="5" t="s">
        <v>42</v>
      </c>
      <c r="J521" s="6" t="n">
        <v>0.17</v>
      </c>
      <c r="K521" s="5" t="s">
        <v>76</v>
      </c>
      <c r="L521" s="5" t="n">
        <f aca="false">IF($K521="",0,LEN($K521)-LEN(SUBSTITUTE($K521,",",""))+1)</f>
        <v>1</v>
      </c>
      <c r="M521" s="5" t="s">
        <v>44</v>
      </c>
      <c r="N521" s="5" t="str">
        <f aca="false">TRIM($A521&amp;" "&amp;IF($C521="",$R521,$C521&amp;" "&amp;$D521&amp;" "&amp;$E521&amp;" "&amp;$F521))</f>
        <v>Spec's #174 Rowlett</v>
      </c>
      <c r="O521" s="5" t="str">
        <f aca="false">IF($P521&lt;&gt;"","Exclude",IF(AND($M521&lt;&gt;"Full address",$R521=""),"Needs address",IF($J521&lt;0.5,"Hold - low volume",IF(LEFT($W521,3)="Low","Verify address",IF($G521="Needs review","Needs premise review",IF($X521="Estimated","Ready - address estimated","Ready"))))))</f>
        <v>Needs address</v>
      </c>
      <c r="P521" s="5"/>
      <c r="Q521" s="5" t="s">
        <v>45</v>
      </c>
      <c r="R521" s="5"/>
      <c r="S521" s="5"/>
      <c r="T521" s="7"/>
      <c r="U521" s="7"/>
      <c r="V521" s="5"/>
      <c r="W521" s="5"/>
      <c r="X521" s="5" t="s">
        <v>3</v>
      </c>
      <c r="Y521" s="8" t="str">
        <f aca="false">IF($C521&lt;&gt;"",TRIM($C521&amp;", "&amp;$D521&amp;", "&amp;$E521&amp;" "&amp;$F521),IF($R521&lt;&gt;"",$R521,IF($D521&lt;&gt;"",$D521&amp;", "&amp;$E521,$I521)))</f>
        <v>Rowlett, TX</v>
      </c>
    </row>
    <row r="522" customFormat="false" ht="15" hidden="false" customHeight="true" outlineLevel="0" collapsed="false">
      <c r="A522" s="5" t="s">
        <v>1637</v>
      </c>
      <c r="B522" s="5" t="s">
        <v>1637</v>
      </c>
      <c r="C522" s="5"/>
      <c r="D522" s="5" t="s">
        <v>1238</v>
      </c>
      <c r="E522" s="5" t="s">
        <v>40</v>
      </c>
      <c r="F522" s="5"/>
      <c r="G522" s="5" t="s">
        <v>144</v>
      </c>
      <c r="H522" s="5" t="s">
        <v>157</v>
      </c>
      <c r="I522" s="5" t="s">
        <v>42</v>
      </c>
      <c r="J522" s="6" t="n">
        <v>0.17</v>
      </c>
      <c r="K522" s="5" t="s">
        <v>426</v>
      </c>
      <c r="L522" s="5" t="n">
        <f aca="false">IF($K522="",0,LEN($K522)-LEN(SUBSTITUTE($K522,",",""))+1)</f>
        <v>1</v>
      </c>
      <c r="M522" s="5" t="s">
        <v>44</v>
      </c>
      <c r="N522" s="5" t="str">
        <f aca="false">TRIM($A522&amp;" "&amp;IF($C522="",$R522,$C522&amp;" "&amp;$D522&amp;" "&amp;$E522&amp;" "&amp;$F522))</f>
        <v>Spec's #176 Sienna Plantation</v>
      </c>
      <c r="O522" s="5" t="str">
        <f aca="false">IF($P522&lt;&gt;"","Exclude",IF(AND($M522&lt;&gt;"Full address",$R522=""),"Needs address",IF($J522&lt;0.5,"Hold - low volume",IF(LEFT($W522,3)="Low","Verify address",IF($G522="Needs review","Needs premise review",IF($X522="Estimated","Ready - address estimated","Ready"))))))</f>
        <v>Needs address</v>
      </c>
      <c r="P522" s="5"/>
      <c r="Q522" s="5" t="s">
        <v>45</v>
      </c>
      <c r="R522" s="5"/>
      <c r="S522" s="5"/>
      <c r="T522" s="7"/>
      <c r="U522" s="7"/>
      <c r="V522" s="5"/>
      <c r="W522" s="5"/>
      <c r="X522" s="5" t="s">
        <v>3</v>
      </c>
      <c r="Y522" s="8" t="str">
        <f aca="false">IF($C522&lt;&gt;"",TRIM($C522&amp;", "&amp;$D522&amp;", "&amp;$E522&amp;" "&amp;$F522),IF($R522&lt;&gt;"",$R522,IF($D522&lt;&gt;"",$D522&amp;", "&amp;$E522,$I522)))</f>
        <v>Missouri City, TX</v>
      </c>
    </row>
    <row r="523" customFormat="false" ht="15" hidden="false" customHeight="true" outlineLevel="0" collapsed="false">
      <c r="A523" s="5" t="s">
        <v>1638</v>
      </c>
      <c r="B523" s="5" t="s">
        <v>1638</v>
      </c>
      <c r="C523" s="5"/>
      <c r="D523" s="5" t="s">
        <v>359</v>
      </c>
      <c r="E523" s="5" t="s">
        <v>40</v>
      </c>
      <c r="F523" s="5"/>
      <c r="G523" s="5" t="s">
        <v>144</v>
      </c>
      <c r="H523" s="5" t="s">
        <v>360</v>
      </c>
      <c r="I523" s="5" t="s">
        <v>42</v>
      </c>
      <c r="J523" s="6" t="n">
        <v>0.17</v>
      </c>
      <c r="K523" s="5" t="s">
        <v>76</v>
      </c>
      <c r="L523" s="5" t="n">
        <f aca="false">IF($K523="",0,LEN($K523)-LEN(SUBSTITUTE($K523,",",""))+1)</f>
        <v>1</v>
      </c>
      <c r="M523" s="5" t="s">
        <v>44</v>
      </c>
      <c r="N523" s="5" t="str">
        <f aca="false">TRIM($A523&amp;" "&amp;IF($C523="",$R523,$C523&amp;" "&amp;$D523&amp;" "&amp;$E523&amp;" "&amp;$F523))</f>
        <v>Spec's #188 Legacy</v>
      </c>
      <c r="O523" s="5" t="str">
        <f aca="false">IF($P523&lt;&gt;"","Exclude",IF(AND($M523&lt;&gt;"Full address",$R523=""),"Needs address",IF($J523&lt;0.5,"Hold - low volume",IF(LEFT($W523,3)="Low","Verify address",IF($G523="Needs review","Needs premise review",IF($X523="Estimated","Ready - address estimated","Ready"))))))</f>
        <v>Needs address</v>
      </c>
      <c r="P523" s="5"/>
      <c r="Q523" s="5" t="s">
        <v>45</v>
      </c>
      <c r="R523" s="5"/>
      <c r="S523" s="5"/>
      <c r="T523" s="7"/>
      <c r="U523" s="7"/>
      <c r="V523" s="5"/>
      <c r="W523" s="5"/>
      <c r="X523" s="5" t="s">
        <v>3</v>
      </c>
      <c r="Y523" s="8" t="str">
        <f aca="false">IF($C523&lt;&gt;"",TRIM($C523&amp;", "&amp;$D523&amp;", "&amp;$E523&amp;" "&amp;$F523),IF($R523&lt;&gt;"",$R523,IF($D523&lt;&gt;"",$D523&amp;", "&amp;$E523,$I523)))</f>
        <v>San Antonio, TX</v>
      </c>
    </row>
    <row r="524" customFormat="false" ht="15" hidden="false" customHeight="true" outlineLevel="0" collapsed="false">
      <c r="A524" s="5" t="s">
        <v>1639</v>
      </c>
      <c r="B524" s="5" t="s">
        <v>1639</v>
      </c>
      <c r="C524" s="5"/>
      <c r="D524" s="5" t="s">
        <v>359</v>
      </c>
      <c r="E524" s="5" t="s">
        <v>40</v>
      </c>
      <c r="F524" s="5"/>
      <c r="G524" s="5" t="s">
        <v>144</v>
      </c>
      <c r="H524" s="5" t="s">
        <v>360</v>
      </c>
      <c r="I524" s="5" t="s">
        <v>42</v>
      </c>
      <c r="J524" s="6" t="n">
        <v>0.17</v>
      </c>
      <c r="K524" s="5" t="s">
        <v>76</v>
      </c>
      <c r="L524" s="5" t="n">
        <f aca="false">IF($K524="",0,LEN($K524)-LEN(SUBSTITUTE($K524,",",""))+1)</f>
        <v>1</v>
      </c>
      <c r="M524" s="5" t="s">
        <v>44</v>
      </c>
      <c r="N524" s="5" t="str">
        <f aca="false">TRIM($A524&amp;" "&amp;IF($C524="",$R524,$C524&amp;" "&amp;$D524&amp;" "&amp;$E524&amp;" "&amp;$F524))</f>
        <v>Spec's #194 San Antonio Dominion</v>
      </c>
      <c r="O524" s="5" t="str">
        <f aca="false">IF($P524&lt;&gt;"","Exclude",IF(AND($M524&lt;&gt;"Full address",$R524=""),"Needs address",IF($J524&lt;0.5,"Hold - low volume",IF(LEFT($W524,3)="Low","Verify address",IF($G524="Needs review","Needs premise review",IF($X524="Estimated","Ready - address estimated","Ready"))))))</f>
        <v>Needs address</v>
      </c>
      <c r="P524" s="5"/>
      <c r="Q524" s="5" t="s">
        <v>45</v>
      </c>
      <c r="R524" s="5"/>
      <c r="S524" s="5"/>
      <c r="T524" s="7"/>
      <c r="U524" s="7"/>
      <c r="V524" s="5"/>
      <c r="W524" s="5"/>
      <c r="X524" s="5" t="s">
        <v>3</v>
      </c>
      <c r="Y524" s="8" t="str">
        <f aca="false">IF($C524&lt;&gt;"",TRIM($C524&amp;", "&amp;$D524&amp;", "&amp;$E524&amp;" "&amp;$F524),IF($R524&lt;&gt;"",$R524,IF($D524&lt;&gt;"",$D524&amp;", "&amp;$E524,$I524)))</f>
        <v>San Antonio, TX</v>
      </c>
    </row>
    <row r="525" customFormat="false" ht="15" hidden="false" customHeight="true" outlineLevel="0" collapsed="false">
      <c r="A525" s="5" t="s">
        <v>1640</v>
      </c>
      <c r="B525" s="5" t="s">
        <v>1640</v>
      </c>
      <c r="C525" s="5"/>
      <c r="D525" s="5" t="s">
        <v>1641</v>
      </c>
      <c r="E525" s="5" t="s">
        <v>40</v>
      </c>
      <c r="F525" s="5"/>
      <c r="G525" s="5" t="s">
        <v>144</v>
      </c>
      <c r="H525" s="5" t="s">
        <v>41</v>
      </c>
      <c r="I525" s="5" t="s">
        <v>42</v>
      </c>
      <c r="J525" s="6" t="n">
        <v>0.17</v>
      </c>
      <c r="K525" s="5" t="s">
        <v>426</v>
      </c>
      <c r="L525" s="5" t="n">
        <f aca="false">IF($K525="",0,LEN($K525)-LEN(SUBSTITUTE($K525,",",""))+1)</f>
        <v>1</v>
      </c>
      <c r="M525" s="5" t="s">
        <v>44</v>
      </c>
      <c r="N525" s="5" t="str">
        <f aca="false">TRIM($A525&amp;" "&amp;IF($C525="",$R525,$C525&amp;" "&amp;$D525&amp;" "&amp;$E525&amp;" "&amp;$F525))</f>
        <v>Spec's #203 Fate</v>
      </c>
      <c r="O525" s="5" t="str">
        <f aca="false">IF($P525&lt;&gt;"","Exclude",IF(AND($M525&lt;&gt;"Full address",$R525=""),"Needs address",IF($J525&lt;0.5,"Hold - low volume",IF(LEFT($W525,3)="Low","Verify address",IF($G525="Needs review","Needs premise review",IF($X525="Estimated","Ready - address estimated","Ready"))))))</f>
        <v>Needs address</v>
      </c>
      <c r="P525" s="5"/>
      <c r="Q525" s="5" t="s">
        <v>45</v>
      </c>
      <c r="R525" s="5"/>
      <c r="S525" s="5"/>
      <c r="T525" s="7"/>
      <c r="U525" s="7"/>
      <c r="V525" s="5"/>
      <c r="W525" s="5"/>
      <c r="X525" s="5" t="s">
        <v>3</v>
      </c>
      <c r="Y525" s="8" t="str">
        <f aca="false">IF($C525&lt;&gt;"",TRIM($C525&amp;", "&amp;$D525&amp;", "&amp;$E525&amp;" "&amp;$F525),IF($R525&lt;&gt;"",$R525,IF($D525&lt;&gt;"",$D525&amp;", "&amp;$E525,$I525)))</f>
        <v>Fate, TX</v>
      </c>
    </row>
    <row r="526" customFormat="false" ht="15" hidden="false" customHeight="true" outlineLevel="0" collapsed="false">
      <c r="A526" s="5" t="s">
        <v>1642</v>
      </c>
      <c r="B526" s="5" t="s">
        <v>1642</v>
      </c>
      <c r="C526" s="5"/>
      <c r="D526" s="5" t="s">
        <v>1643</v>
      </c>
      <c r="E526" s="5" t="s">
        <v>40</v>
      </c>
      <c r="F526" s="5"/>
      <c r="G526" s="5" t="s">
        <v>144</v>
      </c>
      <c r="H526" s="5" t="s">
        <v>41</v>
      </c>
      <c r="I526" s="5" t="s">
        <v>42</v>
      </c>
      <c r="J526" s="6" t="n">
        <v>0.17</v>
      </c>
      <c r="K526" s="5" t="s">
        <v>426</v>
      </c>
      <c r="L526" s="5" t="n">
        <f aca="false">IF($K526="",0,LEN($K526)-LEN(SUBSTITUTE($K526,",",""))+1)</f>
        <v>1</v>
      </c>
      <c r="M526" s="5" t="s">
        <v>44</v>
      </c>
      <c r="N526" s="5" t="str">
        <f aca="false">TRIM($A526&amp;" "&amp;IF($C526="",$R526,$C526&amp;" "&amp;$D526&amp;" "&amp;$E526&amp;" "&amp;$F526))</f>
        <v>Spec's #204 Hurst</v>
      </c>
      <c r="O526" s="5" t="str">
        <f aca="false">IF($P526&lt;&gt;"","Exclude",IF(AND($M526&lt;&gt;"Full address",$R526=""),"Needs address",IF($J526&lt;0.5,"Hold - low volume",IF(LEFT($W526,3)="Low","Verify address",IF($G526="Needs review","Needs premise review",IF($X526="Estimated","Ready - address estimated","Ready"))))))</f>
        <v>Needs address</v>
      </c>
      <c r="P526" s="5"/>
      <c r="Q526" s="5" t="s">
        <v>45</v>
      </c>
      <c r="R526" s="5"/>
      <c r="S526" s="5"/>
      <c r="T526" s="7"/>
      <c r="U526" s="7"/>
      <c r="V526" s="5"/>
      <c r="W526" s="5"/>
      <c r="X526" s="5" t="s">
        <v>3</v>
      </c>
      <c r="Y526" s="8" t="str">
        <f aca="false">IF($C526&lt;&gt;"",TRIM($C526&amp;", "&amp;$D526&amp;", "&amp;$E526&amp;" "&amp;$F526),IF($R526&lt;&gt;"",$R526,IF($D526&lt;&gt;"",$D526&amp;", "&amp;$E526,$I526)))</f>
        <v>Hurst, TX</v>
      </c>
    </row>
    <row r="527" customFormat="false" ht="15" hidden="false" customHeight="true" outlineLevel="0" collapsed="false">
      <c r="A527" s="5" t="s">
        <v>1644</v>
      </c>
      <c r="B527" s="5" t="s">
        <v>1644</v>
      </c>
      <c r="C527" s="5"/>
      <c r="D527" s="5" t="s">
        <v>1645</v>
      </c>
      <c r="E527" s="5" t="s">
        <v>40</v>
      </c>
      <c r="F527" s="5"/>
      <c r="G527" s="5" t="s">
        <v>144</v>
      </c>
      <c r="H527" s="5" t="s">
        <v>360</v>
      </c>
      <c r="I527" s="5" t="s">
        <v>42</v>
      </c>
      <c r="J527" s="6" t="n">
        <v>0.17</v>
      </c>
      <c r="K527" s="5" t="s">
        <v>426</v>
      </c>
      <c r="L527" s="5" t="n">
        <f aca="false">IF($K527="",0,LEN($K527)-LEN(SUBSTITUTE($K527,",",""))+1)</f>
        <v>1</v>
      </c>
      <c r="M527" s="5" t="s">
        <v>44</v>
      </c>
      <c r="N527" s="5" t="str">
        <f aca="false">TRIM($A527&amp;" "&amp;IF($C527="",$R527,$C527&amp;" "&amp;$D527&amp;" "&amp;$E527&amp;" "&amp;$F527))</f>
        <v>Spec's #207 Boerne</v>
      </c>
      <c r="O527" s="5" t="str">
        <f aca="false">IF($P527&lt;&gt;"","Exclude",IF(AND($M527&lt;&gt;"Full address",$R527=""),"Needs address",IF($J527&lt;0.5,"Hold - low volume",IF(LEFT($W527,3)="Low","Verify address",IF($G527="Needs review","Needs premise review",IF($X527="Estimated","Ready - address estimated","Ready"))))))</f>
        <v>Needs address</v>
      </c>
      <c r="P527" s="5"/>
      <c r="Q527" s="5" t="s">
        <v>45</v>
      </c>
      <c r="R527" s="5"/>
      <c r="S527" s="5"/>
      <c r="T527" s="7"/>
      <c r="U527" s="7"/>
      <c r="V527" s="5"/>
      <c r="W527" s="5"/>
      <c r="X527" s="5" t="s">
        <v>3</v>
      </c>
      <c r="Y527" s="8" t="str">
        <f aca="false">IF($C527&lt;&gt;"",TRIM($C527&amp;", "&amp;$D527&amp;", "&amp;$E527&amp;" "&amp;$F527),IF($R527&lt;&gt;"",$R527,IF($D527&lt;&gt;"",$D527&amp;", "&amp;$E527,$I527)))</f>
        <v>Boerne, TX</v>
      </c>
    </row>
    <row r="528" customFormat="false" ht="15" hidden="false" customHeight="true" outlineLevel="0" collapsed="false">
      <c r="A528" s="5" t="s">
        <v>1646</v>
      </c>
      <c r="B528" s="5" t="s">
        <v>1646</v>
      </c>
      <c r="C528" s="5"/>
      <c r="D528" s="5" t="s">
        <v>1647</v>
      </c>
      <c r="E528" s="5" t="s">
        <v>40</v>
      </c>
      <c r="F528" s="5"/>
      <c r="G528" s="5" t="s">
        <v>144</v>
      </c>
      <c r="H528" s="5" t="s">
        <v>157</v>
      </c>
      <c r="I528" s="5" t="s">
        <v>42</v>
      </c>
      <c r="J528" s="6" t="n">
        <v>0.17</v>
      </c>
      <c r="K528" s="5" t="s">
        <v>469</v>
      </c>
      <c r="L528" s="5" t="n">
        <f aca="false">IF($K528="",0,LEN($K528)-LEN(SUBSTITUTE($K528,",",""))+1)</f>
        <v>1</v>
      </c>
      <c r="M528" s="5" t="s">
        <v>44</v>
      </c>
      <c r="N528" s="5" t="str">
        <f aca="false">TRIM($A528&amp;" "&amp;IF($C528="",$R528,$C528&amp;" "&amp;$D528&amp;" "&amp;$E528&amp;" "&amp;$F528))</f>
        <v>Spec's #210 Nacogdoches</v>
      </c>
      <c r="O528" s="5" t="str">
        <f aca="false">IF($P528&lt;&gt;"","Exclude",IF(AND($M528&lt;&gt;"Full address",$R528=""),"Needs address",IF($J528&lt;0.5,"Hold - low volume",IF(LEFT($W528,3)="Low","Verify address",IF($G528="Needs review","Needs premise review",IF($X528="Estimated","Ready - address estimated","Ready"))))))</f>
        <v>Needs address</v>
      </c>
      <c r="P528" s="5"/>
      <c r="Q528" s="5" t="s">
        <v>45</v>
      </c>
      <c r="R528" s="5"/>
      <c r="S528" s="5"/>
      <c r="T528" s="7"/>
      <c r="U528" s="7"/>
      <c r="V528" s="5"/>
      <c r="W528" s="5"/>
      <c r="X528" s="5" t="s">
        <v>3</v>
      </c>
      <c r="Y528" s="8" t="str">
        <f aca="false">IF($C528&lt;&gt;"",TRIM($C528&amp;", "&amp;$D528&amp;", "&amp;$E528&amp;" "&amp;$F528),IF($R528&lt;&gt;"",$R528,IF($D528&lt;&gt;"",$D528&amp;", "&amp;$E528,$I528)))</f>
        <v>Nacogdoches, TX</v>
      </c>
    </row>
    <row r="529" customFormat="false" ht="15" hidden="false" customHeight="true" outlineLevel="0" collapsed="false">
      <c r="A529" s="5" t="s">
        <v>1648</v>
      </c>
      <c r="B529" s="5" t="s">
        <v>1648</v>
      </c>
      <c r="C529" s="5"/>
      <c r="D529" s="5" t="s">
        <v>340</v>
      </c>
      <c r="E529" s="5" t="s">
        <v>40</v>
      </c>
      <c r="F529" s="5"/>
      <c r="G529" s="5" t="s">
        <v>144</v>
      </c>
      <c r="H529" s="5" t="s">
        <v>41</v>
      </c>
      <c r="I529" s="5" t="s">
        <v>42</v>
      </c>
      <c r="J529" s="6" t="n">
        <v>0.17</v>
      </c>
      <c r="K529" s="5" t="s">
        <v>76</v>
      </c>
      <c r="L529" s="5" t="n">
        <f aca="false">IF($K529="",0,LEN($K529)-LEN(SUBSTITUTE($K529,",",""))+1)</f>
        <v>1</v>
      </c>
      <c r="M529" s="5" t="s">
        <v>44</v>
      </c>
      <c r="N529" s="5" t="str">
        <f aca="false">TRIM($A529&amp;" "&amp;IF($C529="",$R529,$C529&amp;" "&amp;$D529&amp;" "&amp;$E529&amp;" "&amp;$F529))</f>
        <v>Spec's #211 Bedford</v>
      </c>
      <c r="O529" s="5" t="str">
        <f aca="false">IF($P529&lt;&gt;"","Exclude",IF(AND($M529&lt;&gt;"Full address",$R529=""),"Needs address",IF($J529&lt;0.5,"Hold - low volume",IF(LEFT($W529,3)="Low","Verify address",IF($G529="Needs review","Needs premise review",IF($X529="Estimated","Ready - address estimated","Ready"))))))</f>
        <v>Needs address</v>
      </c>
      <c r="P529" s="5"/>
      <c r="Q529" s="5" t="s">
        <v>45</v>
      </c>
      <c r="R529" s="5"/>
      <c r="S529" s="5"/>
      <c r="T529" s="7"/>
      <c r="U529" s="7"/>
      <c r="V529" s="5"/>
      <c r="W529" s="5"/>
      <c r="X529" s="5" t="s">
        <v>3</v>
      </c>
      <c r="Y529" s="8" t="str">
        <f aca="false">IF($C529&lt;&gt;"",TRIM($C529&amp;", "&amp;$D529&amp;", "&amp;$E529&amp;" "&amp;$F529),IF($R529&lt;&gt;"",$R529,IF($D529&lt;&gt;"",$D529&amp;", "&amp;$E529,$I529)))</f>
        <v>Bedford, TX</v>
      </c>
    </row>
    <row r="530" customFormat="false" ht="15" hidden="false" customHeight="true" outlineLevel="0" collapsed="false">
      <c r="A530" s="5" t="s">
        <v>1649</v>
      </c>
      <c r="B530" s="5" t="s">
        <v>1649</v>
      </c>
      <c r="C530" s="5"/>
      <c r="D530" s="5" t="s">
        <v>939</v>
      </c>
      <c r="E530" s="5" t="s">
        <v>40</v>
      </c>
      <c r="F530" s="5"/>
      <c r="G530" s="5" t="s">
        <v>144</v>
      </c>
      <c r="H530" s="5" t="s">
        <v>41</v>
      </c>
      <c r="I530" s="5" t="s">
        <v>42</v>
      </c>
      <c r="J530" s="6" t="n">
        <v>0.17</v>
      </c>
      <c r="K530" s="5" t="s">
        <v>426</v>
      </c>
      <c r="L530" s="5" t="n">
        <f aca="false">IF($K530="",0,LEN($K530)-LEN(SUBSTITUTE($K530,",",""))+1)</f>
        <v>1</v>
      </c>
      <c r="M530" s="5" t="s">
        <v>44</v>
      </c>
      <c r="N530" s="5" t="str">
        <f aca="false">TRIM($A530&amp;" "&amp;IF($C530="",$R530,$C530&amp;" "&amp;$D530&amp;" "&amp;$E530&amp;" "&amp;$F530))</f>
        <v>Spec's #212 Plano North</v>
      </c>
      <c r="O530" s="5" t="str">
        <f aca="false">IF($P530&lt;&gt;"","Exclude",IF(AND($M530&lt;&gt;"Full address",$R530=""),"Needs address",IF($J530&lt;0.5,"Hold - low volume",IF(LEFT($W530,3)="Low","Verify address",IF($G530="Needs review","Needs premise review",IF($X530="Estimated","Ready - address estimated","Ready"))))))</f>
        <v>Needs address</v>
      </c>
      <c r="P530" s="5"/>
      <c r="Q530" s="5" t="s">
        <v>45</v>
      </c>
      <c r="R530" s="5"/>
      <c r="S530" s="5"/>
      <c r="T530" s="7"/>
      <c r="U530" s="7"/>
      <c r="V530" s="5"/>
      <c r="W530" s="5"/>
      <c r="X530" s="5" t="s">
        <v>3</v>
      </c>
      <c r="Y530" s="8" t="str">
        <f aca="false">IF($C530&lt;&gt;"",TRIM($C530&amp;", "&amp;$D530&amp;", "&amp;$E530&amp;" "&amp;$F530),IF($R530&lt;&gt;"",$R530,IF($D530&lt;&gt;"",$D530&amp;", "&amp;$E530,$I530)))</f>
        <v>Plano, TX</v>
      </c>
    </row>
    <row r="531" customFormat="false" ht="15" hidden="false" customHeight="true" outlineLevel="0" collapsed="false">
      <c r="A531" s="5" t="s">
        <v>1650</v>
      </c>
      <c r="B531" s="5" t="s">
        <v>1650</v>
      </c>
      <c r="C531" s="5"/>
      <c r="D531" s="5" t="s">
        <v>388</v>
      </c>
      <c r="E531" s="5" t="s">
        <v>40</v>
      </c>
      <c r="F531" s="5"/>
      <c r="G531" s="5" t="s">
        <v>144</v>
      </c>
      <c r="H531" s="5" t="s">
        <v>41</v>
      </c>
      <c r="I531" s="5" t="s">
        <v>42</v>
      </c>
      <c r="J531" s="6" t="n">
        <v>0.17</v>
      </c>
      <c r="K531" s="5" t="s">
        <v>426</v>
      </c>
      <c r="L531" s="5" t="n">
        <f aca="false">IF($K531="",0,LEN($K531)-LEN(SUBSTITUTE($K531,",",""))+1)</f>
        <v>1</v>
      </c>
      <c r="M531" s="5" t="s">
        <v>44</v>
      </c>
      <c r="N531" s="5" t="str">
        <f aca="false">TRIM($A531&amp;" "&amp;IF($C531="",$R531,$C531&amp;" "&amp;$D531&amp;" "&amp;$E531&amp;" "&amp;$F531))</f>
        <v>Spec's #213 Irving</v>
      </c>
      <c r="O531" s="5" t="str">
        <f aca="false">IF($P531&lt;&gt;"","Exclude",IF(AND($M531&lt;&gt;"Full address",$R531=""),"Needs address",IF($J531&lt;0.5,"Hold - low volume",IF(LEFT($W531,3)="Low","Verify address",IF($G531="Needs review","Needs premise review",IF($X531="Estimated","Ready - address estimated","Ready"))))))</f>
        <v>Needs address</v>
      </c>
      <c r="P531" s="5"/>
      <c r="Q531" s="5" t="s">
        <v>45</v>
      </c>
      <c r="R531" s="5"/>
      <c r="S531" s="5"/>
      <c r="T531" s="7"/>
      <c r="U531" s="7"/>
      <c r="V531" s="5"/>
      <c r="W531" s="5"/>
      <c r="X531" s="5" t="s">
        <v>3</v>
      </c>
      <c r="Y531" s="8" t="str">
        <f aca="false">IF($C531&lt;&gt;"",TRIM($C531&amp;", "&amp;$D531&amp;", "&amp;$E531&amp;" "&amp;$F531),IF($R531&lt;&gt;"",$R531,IF($D531&lt;&gt;"",$D531&amp;", "&amp;$E531,$I531)))</f>
        <v>Irving, TX</v>
      </c>
    </row>
    <row r="532" customFormat="false" ht="15" hidden="false" customHeight="true" outlineLevel="0" collapsed="false">
      <c r="A532" s="5" t="s">
        <v>1651</v>
      </c>
      <c r="B532" s="5" t="s">
        <v>1651</v>
      </c>
      <c r="C532" s="5"/>
      <c r="D532" s="5" t="s">
        <v>791</v>
      </c>
      <c r="E532" s="5" t="s">
        <v>40</v>
      </c>
      <c r="F532" s="5"/>
      <c r="G532" s="5" t="s">
        <v>144</v>
      </c>
      <c r="H532" s="5" t="s">
        <v>41</v>
      </c>
      <c r="I532" s="5" t="s">
        <v>42</v>
      </c>
      <c r="J532" s="6" t="n">
        <v>0.17</v>
      </c>
      <c r="K532" s="5" t="s">
        <v>76</v>
      </c>
      <c r="L532" s="5" t="n">
        <f aca="false">IF($K532="",0,LEN($K532)-LEN(SUBSTITUTE($K532,",",""))+1)</f>
        <v>1</v>
      </c>
      <c r="M532" s="5" t="s">
        <v>44</v>
      </c>
      <c r="N532" s="5" t="str">
        <f aca="false">TRIM($A532&amp;" "&amp;IF($C532="",$R532,$C532&amp;" "&amp;$D532&amp;" "&amp;$E532&amp;" "&amp;$F532))</f>
        <v>Spec's #214 Greenville</v>
      </c>
      <c r="O532" s="5" t="str">
        <f aca="false">IF($P532&lt;&gt;"","Exclude",IF(AND($M532&lt;&gt;"Full address",$R532=""),"Needs address",IF($J532&lt;0.5,"Hold - low volume",IF(LEFT($W532,3)="Low","Verify address",IF($G532="Needs review","Needs premise review",IF($X532="Estimated","Ready - address estimated","Ready"))))))</f>
        <v>Needs address</v>
      </c>
      <c r="P532" s="5"/>
      <c r="Q532" s="5" t="s">
        <v>45</v>
      </c>
      <c r="R532" s="5"/>
      <c r="S532" s="5"/>
      <c r="T532" s="7"/>
      <c r="U532" s="7"/>
      <c r="V532" s="5"/>
      <c r="W532" s="5"/>
      <c r="X532" s="5" t="s">
        <v>3</v>
      </c>
      <c r="Y532" s="8" t="str">
        <f aca="false">IF($C532&lt;&gt;"",TRIM($C532&amp;", "&amp;$D532&amp;", "&amp;$E532&amp;" "&amp;$F532),IF($R532&lt;&gt;"",$R532,IF($D532&lt;&gt;"",$D532&amp;", "&amp;$E532,$I532)))</f>
        <v>Greenville, TX</v>
      </c>
    </row>
    <row r="533" customFormat="false" ht="15" hidden="false" customHeight="true" outlineLevel="0" collapsed="false">
      <c r="A533" s="5" t="s">
        <v>1652</v>
      </c>
      <c r="B533" s="5" t="s">
        <v>1652</v>
      </c>
      <c r="C533" s="5"/>
      <c r="D533" s="5" t="s">
        <v>1533</v>
      </c>
      <c r="E533" s="5" t="s">
        <v>40</v>
      </c>
      <c r="F533" s="5"/>
      <c r="G533" s="5" t="s">
        <v>144</v>
      </c>
      <c r="H533" s="5" t="s">
        <v>360</v>
      </c>
      <c r="I533" s="5" t="s">
        <v>42</v>
      </c>
      <c r="J533" s="6" t="n">
        <v>0.17</v>
      </c>
      <c r="K533" s="5" t="s">
        <v>426</v>
      </c>
      <c r="L533" s="5" t="n">
        <f aca="false">IF($K533="",0,LEN($K533)-LEN(SUBSTITUTE($K533,",",""))+1)</f>
        <v>1</v>
      </c>
      <c r="M533" s="5" t="s">
        <v>44</v>
      </c>
      <c r="N533" s="5" t="str">
        <f aca="false">TRIM($A533&amp;" "&amp;IF($C533="",$R533,$C533&amp;" "&amp;$D533&amp;" "&amp;$E533&amp;" "&amp;$F533))</f>
        <v>Spec's #217 Brownsville</v>
      </c>
      <c r="O533" s="5" t="str">
        <f aca="false">IF($P533&lt;&gt;"","Exclude",IF(AND($M533&lt;&gt;"Full address",$R533=""),"Needs address",IF($J533&lt;0.5,"Hold - low volume",IF(LEFT($W533,3)="Low","Verify address",IF($G533="Needs review","Needs premise review",IF($X533="Estimated","Ready - address estimated","Ready"))))))</f>
        <v>Needs address</v>
      </c>
      <c r="P533" s="5"/>
      <c r="Q533" s="5" t="s">
        <v>45</v>
      </c>
      <c r="R533" s="5"/>
      <c r="S533" s="5"/>
      <c r="T533" s="7"/>
      <c r="U533" s="7"/>
      <c r="V533" s="5"/>
      <c r="W533" s="5"/>
      <c r="X533" s="5" t="s">
        <v>3</v>
      </c>
      <c r="Y533" s="8" t="str">
        <f aca="false">IF($C533&lt;&gt;"",TRIM($C533&amp;", "&amp;$D533&amp;", "&amp;$E533&amp;" "&amp;$F533),IF($R533&lt;&gt;"",$R533,IF($D533&lt;&gt;"",$D533&amp;", "&amp;$E533,$I533)))</f>
        <v>Brownsville, TX</v>
      </c>
    </row>
    <row r="534" customFormat="false" ht="15" hidden="false" customHeight="true" outlineLevel="0" collapsed="false">
      <c r="A534" s="5" t="s">
        <v>1653</v>
      </c>
      <c r="B534" s="5" t="s">
        <v>1653</v>
      </c>
      <c r="C534" s="5"/>
      <c r="D534" s="5" t="s">
        <v>855</v>
      </c>
      <c r="E534" s="5" t="s">
        <v>40</v>
      </c>
      <c r="F534" s="5"/>
      <c r="G534" s="5" t="s">
        <v>144</v>
      </c>
      <c r="H534" s="5" t="s">
        <v>157</v>
      </c>
      <c r="I534" s="5" t="s">
        <v>42</v>
      </c>
      <c r="J534" s="6" t="n">
        <v>0.17</v>
      </c>
      <c r="K534" s="5" t="s">
        <v>426</v>
      </c>
      <c r="L534" s="5" t="n">
        <f aca="false">IF($K534="",0,LEN($K534)-LEN(SUBSTITUTE($K534,",",""))+1)</f>
        <v>1</v>
      </c>
      <c r="M534" s="5" t="s">
        <v>44</v>
      </c>
      <c r="N534" s="5" t="str">
        <f aca="false">TRIM($A534&amp;" "&amp;IF($C534="",$R534,$C534&amp;" "&amp;$D534&amp;" "&amp;$E534&amp;" "&amp;$F534))</f>
        <v>Spec's #222 W 34th Street</v>
      </c>
      <c r="O534" s="5" t="str">
        <f aca="false">IF($P534&lt;&gt;"","Exclude",IF(AND($M534&lt;&gt;"Full address",$R534=""),"Needs address",IF($J534&lt;0.5,"Hold - low volume",IF(LEFT($W534,3)="Low","Verify address",IF($G534="Needs review","Needs premise review",IF($X534="Estimated","Ready - address estimated","Ready"))))))</f>
        <v>Needs address</v>
      </c>
      <c r="P534" s="5"/>
      <c r="Q534" s="5" t="s">
        <v>45</v>
      </c>
      <c r="R534" s="5"/>
      <c r="S534" s="5"/>
      <c r="T534" s="7"/>
      <c r="U534" s="7"/>
      <c r="V534" s="5"/>
      <c r="W534" s="5"/>
      <c r="X534" s="5" t="s">
        <v>3</v>
      </c>
      <c r="Y534" s="8" t="str">
        <f aca="false">IF($C534&lt;&gt;"",TRIM($C534&amp;", "&amp;$D534&amp;", "&amp;$E534&amp;" "&amp;$F534),IF($R534&lt;&gt;"",$R534,IF($D534&lt;&gt;"",$D534&amp;", "&amp;$E534,$I534)))</f>
        <v>Houston, TX</v>
      </c>
    </row>
    <row r="535" customFormat="false" ht="15" hidden="false" customHeight="true" outlineLevel="0" collapsed="false">
      <c r="A535" s="5" t="s">
        <v>1654</v>
      </c>
      <c r="B535" s="5" t="s">
        <v>1654</v>
      </c>
      <c r="C535" s="5"/>
      <c r="D535" s="5" t="s">
        <v>1236</v>
      </c>
      <c r="E535" s="5" t="s">
        <v>40</v>
      </c>
      <c r="F535" s="5"/>
      <c r="G535" s="5" t="s">
        <v>144</v>
      </c>
      <c r="H535" s="5" t="s">
        <v>41</v>
      </c>
      <c r="I535" s="5" t="s">
        <v>42</v>
      </c>
      <c r="J535" s="6" t="n">
        <v>0.17</v>
      </c>
      <c r="K535" s="5" t="s">
        <v>76</v>
      </c>
      <c r="L535" s="5" t="n">
        <f aca="false">IF($K535="",0,LEN($K535)-LEN(SUBSTITUTE($K535,",",""))+1)</f>
        <v>1</v>
      </c>
      <c r="M535" s="5" t="s">
        <v>44</v>
      </c>
      <c r="N535" s="5" t="str">
        <f aca="false">TRIM($A535&amp;" "&amp;IF($C535="",$R535,$C535&amp;" "&amp;$D535&amp;" "&amp;$E535&amp;" "&amp;$F535))</f>
        <v>Spec's #226 Lewisville</v>
      </c>
      <c r="O535" s="5" t="str">
        <f aca="false">IF($P535&lt;&gt;"","Exclude",IF(AND($M535&lt;&gt;"Full address",$R535=""),"Needs address",IF($J535&lt;0.5,"Hold - low volume",IF(LEFT($W535,3)="Low","Verify address",IF($G535="Needs review","Needs premise review",IF($X535="Estimated","Ready - address estimated","Ready"))))))</f>
        <v>Needs address</v>
      </c>
      <c r="P535" s="5"/>
      <c r="Q535" s="5" t="s">
        <v>45</v>
      </c>
      <c r="R535" s="5"/>
      <c r="S535" s="5"/>
      <c r="T535" s="7"/>
      <c r="U535" s="7"/>
      <c r="V535" s="5"/>
      <c r="W535" s="5"/>
      <c r="X535" s="5" t="s">
        <v>3</v>
      </c>
      <c r="Y535" s="8" t="str">
        <f aca="false">IF($C535&lt;&gt;"",TRIM($C535&amp;", "&amp;$D535&amp;", "&amp;$E535&amp;" "&amp;$F535),IF($R535&lt;&gt;"",$R535,IF($D535&lt;&gt;"",$D535&amp;", "&amp;$E535,$I535)))</f>
        <v>Lewisville, TX</v>
      </c>
    </row>
    <row r="536" customFormat="false" ht="15" hidden="false" customHeight="true" outlineLevel="0" collapsed="false">
      <c r="A536" s="5" t="s">
        <v>1655</v>
      </c>
      <c r="B536" s="5" t="s">
        <v>1655</v>
      </c>
      <c r="C536" s="5"/>
      <c r="D536" s="5"/>
      <c r="E536" s="5" t="s">
        <v>913</v>
      </c>
      <c r="F536" s="5"/>
      <c r="G536" s="5" t="s">
        <v>31</v>
      </c>
      <c r="H536" s="5" t="s">
        <v>914</v>
      </c>
      <c r="I536" s="5" t="s">
        <v>915</v>
      </c>
      <c r="J536" s="6" t="n">
        <v>0.1667</v>
      </c>
      <c r="K536" s="5" t="s">
        <v>469</v>
      </c>
      <c r="L536" s="5" t="n">
        <f aca="false">IF($K536="",0,LEN($K536)-LEN(SUBSTITUTE($K536,",",""))+1)</f>
        <v>1</v>
      </c>
      <c r="M536" s="5" t="s">
        <v>916</v>
      </c>
      <c r="N536" s="5" t="str">
        <f aca="false">TRIM($A536&amp;" "&amp;IF($C536="",$R536,$C536&amp;" "&amp;$D536&amp;" "&amp;$E536&amp;" "&amp;$F536))</f>
        <v>Waterford Wine Co. - Eastside</v>
      </c>
      <c r="O536" s="5" t="str">
        <f aca="false">IF($P536&lt;&gt;"","Exclude",IF(AND($M536&lt;&gt;"Full address",$R536=""),"Needs address",IF($J536&lt;0.5,"Hold - low volume",IF(LEFT($W536,3)="Low","Verify address",IF($G536="Needs review","Needs premise review",IF($X536="Estimated","Ready - address estimated","Ready"))))))</f>
        <v>Needs address</v>
      </c>
      <c r="P536" s="5"/>
      <c r="Q536" s="5" t="s">
        <v>917</v>
      </c>
      <c r="R536" s="5"/>
      <c r="S536" s="5"/>
      <c r="T536" s="7"/>
      <c r="U536" s="7"/>
      <c r="V536" s="5"/>
      <c r="W536" s="5"/>
      <c r="X536" s="5" t="s">
        <v>8</v>
      </c>
      <c r="Y536" s="8" t="str">
        <f aca="false">IF($C536&lt;&gt;"",TRIM($C536&amp;", "&amp;$D536&amp;", "&amp;$E536&amp;" "&amp;$F536),IF($R536&lt;&gt;"",$R536,IF($D536&lt;&gt;"",$D536&amp;", "&amp;$E536,$I536)))</f>
        <v>Wisconsin</v>
      </c>
    </row>
    <row r="537" customFormat="false" ht="15" hidden="false" customHeight="true" outlineLevel="0" collapsed="false">
      <c r="A537" s="5" t="s">
        <v>1656</v>
      </c>
      <c r="B537" s="5" t="s">
        <v>1656</v>
      </c>
      <c r="C537" s="5"/>
      <c r="D537" s="5"/>
      <c r="E537" s="5" t="s">
        <v>913</v>
      </c>
      <c r="F537" s="5"/>
      <c r="G537" s="5" t="s">
        <v>144</v>
      </c>
      <c r="H537" s="5" t="s">
        <v>914</v>
      </c>
      <c r="I537" s="5" t="s">
        <v>915</v>
      </c>
      <c r="J537" s="6" t="n">
        <v>0.0833</v>
      </c>
      <c r="K537" s="5" t="s">
        <v>426</v>
      </c>
      <c r="L537" s="5" t="n">
        <f aca="false">IF($K537="",0,LEN($K537)-LEN(SUBSTITUTE($K537,",",""))+1)</f>
        <v>1</v>
      </c>
      <c r="M537" s="5" t="s">
        <v>916</v>
      </c>
      <c r="N537" s="5" t="str">
        <f aca="false">TRIM($A537&amp;" "&amp;IF($C537="",$R537,$C537&amp;" "&amp;$D537&amp;" "&amp;$E537&amp;" "&amp;$F537))</f>
        <v>Samples - 100% Billback</v>
      </c>
      <c r="O537" s="5" t="str">
        <f aca="false">IF($P537&lt;&gt;"","Exclude",IF(AND($M537&lt;&gt;"Full address",$R537=""),"Needs address",IF($J537&lt;0.5,"Hold - low volume",IF(LEFT($W537,3)="Low","Verify address",IF($G537="Needs review","Needs premise review",IF($X537="Estimated","Ready - address estimated","Ready"))))))</f>
        <v>Exclude</v>
      </c>
      <c r="P537" s="5" t="s">
        <v>1540</v>
      </c>
      <c r="Q537" s="5" t="s">
        <v>917</v>
      </c>
      <c r="R537" s="5"/>
      <c r="S537" s="5"/>
      <c r="T537" s="7"/>
      <c r="U537" s="7"/>
      <c r="V537" s="5"/>
      <c r="W537" s="5"/>
      <c r="X537" s="5" t="s">
        <v>8</v>
      </c>
      <c r="Y537" s="8" t="str">
        <f aca="false">IF($C537&lt;&gt;"",TRIM($C537&amp;", "&amp;$D537&amp;", "&amp;$E537&amp;" "&amp;$F537),IF($R537&lt;&gt;"",$R537,IF($D537&lt;&gt;"",$D537&amp;", "&amp;$E537,$I537)))</f>
        <v>Wisconsin</v>
      </c>
    </row>
    <row r="538" customFormat="false" ht="15" hidden="false" customHeight="true" outlineLevel="0" collapsed="false">
      <c r="A538" s="5" t="s">
        <v>1657</v>
      </c>
      <c r="B538" s="5" t="s">
        <v>1658</v>
      </c>
      <c r="C538" s="5" t="s">
        <v>1659</v>
      </c>
      <c r="D538" s="5" t="s">
        <v>1660</v>
      </c>
      <c r="E538" s="5" t="s">
        <v>59</v>
      </c>
      <c r="F538" s="5" t="s">
        <v>1659</v>
      </c>
      <c r="G538" s="5" t="s">
        <v>144</v>
      </c>
      <c r="H538" s="5" t="s">
        <v>280</v>
      </c>
      <c r="I538" s="5" t="s">
        <v>62</v>
      </c>
      <c r="J538" s="6" t="n">
        <v>0</v>
      </c>
      <c r="K538" s="5" t="s">
        <v>389</v>
      </c>
      <c r="L538" s="5" t="n">
        <f aca="false">IF($K538="",0,LEN($K538)-LEN(SUBSTITUTE($K538,",",""))+1)</f>
        <v>3</v>
      </c>
      <c r="M538" s="5" t="s">
        <v>35</v>
      </c>
      <c r="N538" s="5" t="str">
        <f aca="false">TRIM($A538&amp;" "&amp;IF($C538="",$R538,$C538&amp;" "&amp;$D538&amp;" "&amp;$E538&amp;" "&amp;$F538))</f>
        <v>Fifo Adjustment Monument TBD Tbd CO TBD</v>
      </c>
      <c r="O538" s="5" t="str">
        <f aca="false">IF($P538&lt;&gt;"","Exclude",IF(AND($M538&lt;&gt;"Full address",$R538=""),"Needs address",IF($J538&lt;0.5,"Hold - low volume",IF(LEFT($W538,3)="Low","Verify address",IF($G538="Needs review","Needs premise review",IF($X538="Estimated","Ready - address estimated","Ready"))))))</f>
        <v>Exclude</v>
      </c>
      <c r="P538" s="5" t="s">
        <v>1540</v>
      </c>
      <c r="Q538" s="5" t="s">
        <v>64</v>
      </c>
      <c r="R538" s="5"/>
      <c r="S538" s="5"/>
      <c r="T538" s="7"/>
      <c r="U538" s="7"/>
      <c r="V538" s="5"/>
      <c r="W538" s="5"/>
      <c r="X538" s="5" t="s">
        <v>37</v>
      </c>
      <c r="Y538" s="8" t="str">
        <f aca="false">IF($C538&lt;&gt;"",TRIM($C538&amp;", "&amp;$D538&amp;", "&amp;$E538&amp;" "&amp;$F538),IF($R538&lt;&gt;"",$R538,IF($D538&lt;&gt;"",$D538&amp;", "&amp;$E538,$I538)))</f>
        <v>TBD, Tbd, CO TBD</v>
      </c>
    </row>
    <row r="539" customFormat="false" ht="15" hidden="false" customHeight="true" outlineLevel="0" collapsed="false">
      <c r="A539" s="5" t="s">
        <v>1661</v>
      </c>
      <c r="B539" s="5" t="s">
        <v>1662</v>
      </c>
      <c r="C539" s="5" t="s">
        <v>1663</v>
      </c>
      <c r="D539" s="5" t="s">
        <v>1664</v>
      </c>
      <c r="E539" s="5" t="s">
        <v>29</v>
      </c>
      <c r="F539" s="5" t="s">
        <v>1665</v>
      </c>
      <c r="G539" s="5" t="s">
        <v>31</v>
      </c>
      <c r="H539" s="5" t="s">
        <v>32</v>
      </c>
      <c r="I539" s="5" t="s">
        <v>33</v>
      </c>
      <c r="J539" s="6" t="n">
        <v>0</v>
      </c>
      <c r="K539" s="5" t="s">
        <v>63</v>
      </c>
      <c r="L539" s="5" t="n">
        <f aca="false">IF($K539="",0,LEN($K539)-LEN(SUBSTITUTE($K539,",",""))+1)</f>
        <v>2</v>
      </c>
      <c r="M539" s="5" t="s">
        <v>35</v>
      </c>
      <c r="N539" s="5" t="str">
        <f aca="false">TRIM($A539&amp;" "&amp;IF($C539="",$R539,$C539&amp;" "&amp;$D539&amp;" "&amp;$E539&amp;" "&amp;$F539))</f>
        <v>Beverage SuperStore of Grayson #4 2265 Loganville Hwy Grayson GA 30017</v>
      </c>
      <c r="O539" s="5" t="str">
        <f aca="false">IF($P539&lt;&gt;"","Exclude",IF(AND($M539&lt;&gt;"Full address",$R539=""),"Needs address",IF($J539&lt;0.5,"Hold - low volume",IF(LEFT($W539,3)="Low","Verify address",IF($G539="Needs review","Needs premise review",IF($X539="Estimated","Ready - address estimated","Ready"))))))</f>
        <v>Exclude</v>
      </c>
      <c r="P539" s="5" t="s">
        <v>1666</v>
      </c>
      <c r="Q539" s="5" t="s">
        <v>36</v>
      </c>
      <c r="R539" s="5"/>
      <c r="S539" s="5"/>
      <c r="T539" s="7"/>
      <c r="U539" s="7"/>
      <c r="V539" s="5"/>
      <c r="W539" s="5"/>
      <c r="X539" s="5" t="s">
        <v>37</v>
      </c>
      <c r="Y539" s="8" t="str">
        <f aca="false">IF($C539&lt;&gt;"",TRIM($C539&amp;", "&amp;$D539&amp;", "&amp;$E539&amp;" "&amp;$F539),IF($R539&lt;&gt;"",$R539,IF($D539&lt;&gt;"",$D539&amp;", "&amp;$E539,$I539)))</f>
        <v>2265 Loganville Hwy, Grayson, GA 30017</v>
      </c>
    </row>
    <row r="540" customFormat="false" ht="15" hidden="false" customHeight="true" outlineLevel="0" collapsed="false">
      <c r="A540" s="5" t="s">
        <v>1667</v>
      </c>
      <c r="B540" s="5" t="s">
        <v>1668</v>
      </c>
      <c r="C540" s="5" t="s">
        <v>1669</v>
      </c>
      <c r="D540" s="5" t="s">
        <v>1670</v>
      </c>
      <c r="E540" s="5" t="s">
        <v>29</v>
      </c>
      <c r="F540" s="5" t="s">
        <v>1671</v>
      </c>
      <c r="G540" s="5" t="s">
        <v>31</v>
      </c>
      <c r="H540" s="5" t="s">
        <v>32</v>
      </c>
      <c r="I540" s="5" t="s">
        <v>33</v>
      </c>
      <c r="J540" s="6" t="n">
        <v>0</v>
      </c>
      <c r="K540" s="5" t="s">
        <v>426</v>
      </c>
      <c r="L540" s="5" t="n">
        <f aca="false">IF($K540="",0,LEN($K540)-LEN(SUBSTITUTE($K540,",",""))+1)</f>
        <v>1</v>
      </c>
      <c r="M540" s="5" t="s">
        <v>35</v>
      </c>
      <c r="N540" s="5" t="str">
        <f aca="false">TRIM($A540&amp;" "&amp;IF($C540="",$R540,$C540&amp;" "&amp;$D540&amp;" "&amp;$E540&amp;" "&amp;$F540))</f>
        <v>Cheers Liquor Store 106 Woolsey Rd Hampton GA 30228</v>
      </c>
      <c r="O540" s="5" t="str">
        <f aca="false">IF($P540&lt;&gt;"","Exclude",IF(AND($M540&lt;&gt;"Full address",$R540=""),"Needs address",IF($J540&lt;0.5,"Hold - low volume",IF(LEFT($W540,3)="Low","Verify address",IF($G540="Needs review","Needs premise review",IF($X540="Estimated","Ready - address estimated","Ready"))))))</f>
        <v>Exclude</v>
      </c>
      <c r="P540" s="5" t="s">
        <v>1666</v>
      </c>
      <c r="Q540" s="5" t="s">
        <v>36</v>
      </c>
      <c r="R540" s="5"/>
      <c r="S540" s="5"/>
      <c r="T540" s="7"/>
      <c r="U540" s="7"/>
      <c r="V540" s="5"/>
      <c r="W540" s="5"/>
      <c r="X540" s="5" t="s">
        <v>37</v>
      </c>
      <c r="Y540" s="8" t="str">
        <f aca="false">IF($C540&lt;&gt;"",TRIM($C540&amp;", "&amp;$D540&amp;", "&amp;$E540&amp;" "&amp;$F540),IF($R540&lt;&gt;"",$R540,IF($D540&lt;&gt;"",$D540&amp;", "&amp;$E540,$I540)))</f>
        <v>106 Woolsey Rd, Hampton, GA 30228</v>
      </c>
    </row>
    <row r="541" customFormat="false" ht="15" hidden="false" customHeight="true" outlineLevel="0" collapsed="false">
      <c r="A541" s="5" t="s">
        <v>1672</v>
      </c>
      <c r="B541" s="5" t="s">
        <v>1673</v>
      </c>
      <c r="C541" s="5" t="s">
        <v>1674</v>
      </c>
      <c r="D541" s="5" t="s">
        <v>1675</v>
      </c>
      <c r="E541" s="5" t="s">
        <v>29</v>
      </c>
      <c r="F541" s="5" t="s">
        <v>1676</v>
      </c>
      <c r="G541" s="5" t="s">
        <v>31</v>
      </c>
      <c r="H541" s="5" t="s">
        <v>32</v>
      </c>
      <c r="I541" s="5" t="s">
        <v>33</v>
      </c>
      <c r="J541" s="6" t="n">
        <v>0</v>
      </c>
      <c r="K541" s="5" t="s">
        <v>34</v>
      </c>
      <c r="L541" s="5" t="n">
        <f aca="false">IF($K541="",0,LEN($K541)-LEN(SUBSTITUTE($K541,",",""))+1)</f>
        <v>3</v>
      </c>
      <c r="M541" s="5" t="s">
        <v>35</v>
      </c>
      <c r="N541" s="5" t="str">
        <f aca="false">TRIM($A541&amp;" "&amp;IF($C541="",$R541,$C541&amp;" "&amp;$D541&amp;" "&amp;$E541&amp;" "&amp;$F541))</f>
        <v>Hwy 155 package 3430 N McDonough Rd Locust Grove GA 30248</v>
      </c>
      <c r="O541" s="5" t="str">
        <f aca="false">IF($P541&lt;&gt;"","Exclude",IF(AND($M541&lt;&gt;"Full address",$R541=""),"Needs address",IF($J541&lt;0.5,"Hold - low volume",IF(LEFT($W541,3)="Low","Verify address",IF($G541="Needs review","Needs premise review",IF($X541="Estimated","Ready - address estimated","Ready"))))))</f>
        <v>Exclude</v>
      </c>
      <c r="P541" s="5" t="s">
        <v>1666</v>
      </c>
      <c r="Q541" s="5" t="s">
        <v>36</v>
      </c>
      <c r="R541" s="5"/>
      <c r="S541" s="5"/>
      <c r="T541" s="7"/>
      <c r="U541" s="7"/>
      <c r="V541" s="5"/>
      <c r="W541" s="5"/>
      <c r="X541" s="5" t="s">
        <v>37</v>
      </c>
      <c r="Y541" s="8" t="str">
        <f aca="false">IF($C541&lt;&gt;"",TRIM($C541&amp;", "&amp;$D541&amp;", "&amp;$E541&amp;" "&amp;$F541),IF($R541&lt;&gt;"",$R541,IF($D541&lt;&gt;"",$D541&amp;", "&amp;$E541,$I541)))</f>
        <v>3430 N McDonough Rd, Locust Grove, GA 30248</v>
      </c>
    </row>
    <row r="542" customFormat="false" ht="15" hidden="false" customHeight="true" outlineLevel="0" collapsed="false">
      <c r="A542" s="5" t="s">
        <v>1677</v>
      </c>
      <c r="B542" s="5" t="s">
        <v>1678</v>
      </c>
      <c r="C542" s="5" t="s">
        <v>1679</v>
      </c>
      <c r="D542" s="5" t="s">
        <v>1680</v>
      </c>
      <c r="E542" s="5" t="s">
        <v>29</v>
      </c>
      <c r="F542" s="5" t="s">
        <v>1681</v>
      </c>
      <c r="G542" s="5" t="s">
        <v>144</v>
      </c>
      <c r="H542" s="5" t="s">
        <v>32</v>
      </c>
      <c r="I542" s="5" t="s">
        <v>33</v>
      </c>
      <c r="J542" s="6" t="n">
        <v>0</v>
      </c>
      <c r="K542" s="5" t="s">
        <v>87</v>
      </c>
      <c r="L542" s="5" t="n">
        <f aca="false">IF($K542="",0,LEN($K542)-LEN(SUBSTITUTE($K542,",",""))+1)</f>
        <v>5</v>
      </c>
      <c r="M542" s="5" t="s">
        <v>35</v>
      </c>
      <c r="N542" s="5" t="str">
        <f aca="false">TRIM($A542&amp;" "&amp;IF($C542="",$R542,$C542&amp;" "&amp;$D542&amp;" "&amp;$E542&amp;" "&amp;$F542))</f>
        <v>Matt Broom 6205 Best Friend Rd Norcross GA 30071</v>
      </c>
      <c r="O542" s="5" t="str">
        <f aca="false">IF($P542&lt;&gt;"","Exclude",IF(AND($M542&lt;&gt;"Full address",$R542=""),"Needs address",IF($J542&lt;0.5,"Hold - low volume",IF(LEFT($W542,3)="Low","Verify address",IF($G542="Needs review","Needs premise review",IF($X542="Estimated","Ready - address estimated","Ready"))))))</f>
        <v>Exclude</v>
      </c>
      <c r="P542" s="5" t="s">
        <v>1666</v>
      </c>
      <c r="Q542" s="5" t="s">
        <v>36</v>
      </c>
      <c r="R542" s="5"/>
      <c r="S542" s="5"/>
      <c r="T542" s="7"/>
      <c r="U542" s="7"/>
      <c r="V542" s="5"/>
      <c r="W542" s="5"/>
      <c r="X542" s="5" t="s">
        <v>37</v>
      </c>
      <c r="Y542" s="8" t="str">
        <f aca="false">IF($C542&lt;&gt;"",TRIM($C542&amp;", "&amp;$D542&amp;", "&amp;$E542&amp;" "&amp;$F542),IF($R542&lt;&gt;"",$R542,IF($D542&lt;&gt;"",$D542&amp;", "&amp;$E542,$I542)))</f>
        <v>6205 Best Friend Rd, Norcross, GA 30071</v>
      </c>
    </row>
    <row r="543" customFormat="false" ht="15" hidden="false" customHeight="true" outlineLevel="0" collapsed="false">
      <c r="A543" s="5" t="s">
        <v>1682</v>
      </c>
      <c r="B543" s="5" t="s">
        <v>1683</v>
      </c>
      <c r="C543" s="5" t="s">
        <v>1684</v>
      </c>
      <c r="D543" s="5" t="s">
        <v>1055</v>
      </c>
      <c r="E543" s="5" t="s">
        <v>29</v>
      </c>
      <c r="F543" s="5" t="s">
        <v>1056</v>
      </c>
      <c r="G543" s="5" t="s">
        <v>31</v>
      </c>
      <c r="H543" s="5" t="s">
        <v>32</v>
      </c>
      <c r="I543" s="5" t="s">
        <v>33</v>
      </c>
      <c r="J543" s="6" t="n">
        <v>0</v>
      </c>
      <c r="K543" s="5" t="s">
        <v>804</v>
      </c>
      <c r="L543" s="5" t="n">
        <f aca="false">IF($K543="",0,LEN($K543)-LEN(SUBSTITUTE($K543,",",""))+1)</f>
        <v>2</v>
      </c>
      <c r="M543" s="5" t="s">
        <v>35</v>
      </c>
      <c r="N543" s="5" t="str">
        <f aca="false">TRIM($A543&amp;" "&amp;IF($C543="",$R543,$C543&amp;" "&amp;$D543&amp;" "&amp;$E543&amp;" "&amp;$F543))</f>
        <v>Sip Wine &amp; Spirits 3915 Towne Club Parkway Cumming GA 30041</v>
      </c>
      <c r="O543" s="5" t="str">
        <f aca="false">IF($P543&lt;&gt;"","Exclude",IF(AND($M543&lt;&gt;"Full address",$R543=""),"Needs address",IF($J543&lt;0.5,"Hold - low volume",IF(LEFT($W543,3)="Low","Verify address",IF($G543="Needs review","Needs premise review",IF($X543="Estimated","Ready - address estimated","Ready"))))))</f>
        <v>Exclude</v>
      </c>
      <c r="P543" s="5" t="s">
        <v>1666</v>
      </c>
      <c r="Q543" s="5" t="s">
        <v>36</v>
      </c>
      <c r="R543" s="5"/>
      <c r="S543" s="5"/>
      <c r="T543" s="7"/>
      <c r="U543" s="7"/>
      <c r="V543" s="5"/>
      <c r="W543" s="5"/>
      <c r="X543" s="5" t="s">
        <v>37</v>
      </c>
      <c r="Y543" s="8" t="str">
        <f aca="false">IF($C543&lt;&gt;"",TRIM($C543&amp;", "&amp;$D543&amp;", "&amp;$E543&amp;" "&amp;$F543),IF($R543&lt;&gt;"",$R543,IF($D543&lt;&gt;"",$D543&amp;", "&amp;$E543,$I543)))</f>
        <v>3915 Towne Club Parkway, Cumming, GA 30041</v>
      </c>
    </row>
    <row r="544" customFormat="false" ht="15" hidden="false" customHeight="true" outlineLevel="0" collapsed="false">
      <c r="A544" s="5" t="s">
        <v>1685</v>
      </c>
      <c r="B544" s="5" t="s">
        <v>1686</v>
      </c>
      <c r="C544" s="5" t="s">
        <v>1687</v>
      </c>
      <c r="D544" s="5" t="s">
        <v>1688</v>
      </c>
      <c r="E544" s="5" t="s">
        <v>29</v>
      </c>
      <c r="F544" s="5" t="s">
        <v>1689</v>
      </c>
      <c r="G544" s="5" t="s">
        <v>144</v>
      </c>
      <c r="H544" s="5" t="s">
        <v>1690</v>
      </c>
      <c r="I544" s="5" t="s">
        <v>33</v>
      </c>
      <c r="J544" s="6" t="n">
        <v>0</v>
      </c>
      <c r="K544" s="5" t="s">
        <v>34</v>
      </c>
      <c r="L544" s="5" t="n">
        <f aca="false">IF($K544="",0,LEN($K544)-LEN(SUBSTITUTE($K544,",",""))+1)</f>
        <v>3</v>
      </c>
      <c r="M544" s="5" t="s">
        <v>35</v>
      </c>
      <c r="N544" s="5" t="str">
        <f aca="false">TRIM($A544&amp;" "&amp;IF($C544="",$R544,$C544&amp;" "&amp;$D544&amp;" "&amp;$E544&amp;" "&amp;$F544))</f>
        <v>Southern Crown Partners 1912 Transus Dr Vidalia GA 30474</v>
      </c>
      <c r="O544" s="5" t="str">
        <f aca="false">IF($P544&lt;&gt;"","Exclude",IF(AND($M544&lt;&gt;"Full address",$R544=""),"Needs address",IF($J544&lt;0.5,"Hold - low volume",IF(LEFT($W544,3)="Low","Verify address",IF($G544="Needs review","Needs premise review",IF($X544="Estimated","Ready - address estimated","Ready"))))))</f>
        <v>Exclude</v>
      </c>
      <c r="P544" s="5" t="s">
        <v>1666</v>
      </c>
      <c r="Q544" s="5" t="s">
        <v>36</v>
      </c>
      <c r="R544" s="5"/>
      <c r="S544" s="5"/>
      <c r="T544" s="7"/>
      <c r="U544" s="7"/>
      <c r="V544" s="5"/>
      <c r="W544" s="5"/>
      <c r="X544" s="5" t="s">
        <v>37</v>
      </c>
      <c r="Y544" s="8" t="str">
        <f aca="false">IF($C544&lt;&gt;"",TRIM($C544&amp;", "&amp;$D544&amp;", "&amp;$E544&amp;" "&amp;$F544),IF($R544&lt;&gt;"",$R544,IF($D544&lt;&gt;"",$D544&amp;", "&amp;$E544,$I544)))</f>
        <v>1912 Transus Dr, Vidalia, GA 30474</v>
      </c>
    </row>
    <row r="545" customFormat="false" ht="15" hidden="false" customHeight="true" outlineLevel="0" collapsed="false">
      <c r="A545" s="5" t="s">
        <v>1691</v>
      </c>
      <c r="B545" s="5" t="s">
        <v>1692</v>
      </c>
      <c r="C545" s="5" t="s">
        <v>1693</v>
      </c>
      <c r="D545" s="5" t="s">
        <v>129</v>
      </c>
      <c r="E545" s="5" t="s">
        <v>29</v>
      </c>
      <c r="F545" s="5" t="s">
        <v>130</v>
      </c>
      <c r="G545" s="5" t="s">
        <v>31</v>
      </c>
      <c r="H545" s="5" t="s">
        <v>32</v>
      </c>
      <c r="I545" s="5" t="s">
        <v>33</v>
      </c>
      <c r="J545" s="6" t="n">
        <v>0</v>
      </c>
      <c r="K545" s="5" t="s">
        <v>395</v>
      </c>
      <c r="L545" s="5" t="n">
        <f aca="false">IF($K545="",0,LEN($K545)-LEN(SUBSTITUTE($K545,",",""))+1)</f>
        <v>2</v>
      </c>
      <c r="M545" s="5" t="s">
        <v>35</v>
      </c>
      <c r="N545" s="5" t="str">
        <f aca="false">TRIM($A545&amp;" "&amp;IF($C545="",$R545,$C545&amp;" "&amp;$D545&amp;" "&amp;$E545&amp;" "&amp;$F545))</f>
        <v>Suwanee TopShelf Beverage 350 Peachtree Industrial Blvd Suwanee GA 30024</v>
      </c>
      <c r="O545" s="5" t="str">
        <f aca="false">IF($P545&lt;&gt;"","Exclude",IF(AND($M545&lt;&gt;"Full address",$R545=""),"Needs address",IF($J545&lt;0.5,"Hold - low volume",IF(LEFT($W545,3)="Low","Verify address",IF($G545="Needs review","Needs premise review",IF($X545="Estimated","Ready - address estimated","Ready"))))))</f>
        <v>Exclude</v>
      </c>
      <c r="P545" s="5" t="s">
        <v>1666</v>
      </c>
      <c r="Q545" s="5" t="s">
        <v>36</v>
      </c>
      <c r="R545" s="5"/>
      <c r="S545" s="5"/>
      <c r="T545" s="7"/>
      <c r="U545" s="7"/>
      <c r="V545" s="5"/>
      <c r="W545" s="5"/>
      <c r="X545" s="5" t="s">
        <v>37</v>
      </c>
      <c r="Y545" s="8" t="str">
        <f aca="false">IF($C545&lt;&gt;"",TRIM($C545&amp;", "&amp;$D545&amp;", "&amp;$E545&amp;" "&amp;$F545),IF($R545&lt;&gt;"",$R545,IF($D545&lt;&gt;"",$D545&amp;", "&amp;$E545,$I545)))</f>
        <v>350 Peachtree Industrial Blvd, Suwanee, GA 30024</v>
      </c>
    </row>
    <row r="546" customFormat="false" ht="15" hidden="false" customHeight="true" outlineLevel="0" collapsed="false">
      <c r="A546" s="5" t="s">
        <v>1694</v>
      </c>
      <c r="B546" s="5" t="s">
        <v>1695</v>
      </c>
      <c r="C546" s="5" t="s">
        <v>1696</v>
      </c>
      <c r="D546" s="5" t="s">
        <v>1697</v>
      </c>
      <c r="E546" s="5" t="s">
        <v>29</v>
      </c>
      <c r="F546" s="5" t="s">
        <v>1698</v>
      </c>
      <c r="G546" s="5" t="s">
        <v>31</v>
      </c>
      <c r="H546" s="5" t="s">
        <v>32</v>
      </c>
      <c r="I546" s="5" t="s">
        <v>33</v>
      </c>
      <c r="J546" s="6" t="n">
        <v>0</v>
      </c>
      <c r="K546" s="5" t="s">
        <v>414</v>
      </c>
      <c r="L546" s="5" t="n">
        <f aca="false">IF($K546="",0,LEN($K546)-LEN(SUBSTITUTE($K546,",",""))+1)</f>
        <v>2</v>
      </c>
      <c r="M546" s="5" t="s">
        <v>35</v>
      </c>
      <c r="N546" s="5" t="str">
        <f aca="false">TRIM($A546&amp;" "&amp;IF($C546="",$R546,$C546&amp;" "&amp;$D546&amp;" "&amp;$E546&amp;" "&amp;$F546))</f>
        <v>Uptown Package Store 3800 Pleasantdale Rd Doraville GA 30340</v>
      </c>
      <c r="O546" s="5" t="str">
        <f aca="false">IF($P546&lt;&gt;"","Exclude",IF(AND($M546&lt;&gt;"Full address",$R546=""),"Needs address",IF($J546&lt;0.5,"Hold - low volume",IF(LEFT($W546,3)="Low","Verify address",IF($G546="Needs review","Needs premise review",IF($X546="Estimated","Ready - address estimated","Ready"))))))</f>
        <v>Exclude</v>
      </c>
      <c r="P546" s="5" t="s">
        <v>1666</v>
      </c>
      <c r="Q546" s="5" t="s">
        <v>36</v>
      </c>
      <c r="R546" s="5"/>
      <c r="S546" s="5"/>
      <c r="T546" s="7"/>
      <c r="U546" s="7"/>
      <c r="V546" s="5"/>
      <c r="W546" s="5"/>
      <c r="X546" s="5" t="s">
        <v>37</v>
      </c>
      <c r="Y546" s="8" t="str">
        <f aca="false">IF($C546&lt;&gt;"",TRIM($C546&amp;", "&amp;$D546&amp;", "&amp;$E546&amp;" "&amp;$F546),IF($R546&lt;&gt;"",$R546,IF($D546&lt;&gt;"",$D546&amp;", "&amp;$E546,$I546)))</f>
        <v>3800 Pleasantdale Rd, Doraville, GA 30340</v>
      </c>
    </row>
    <row r="547" customFormat="false" ht="15" hidden="false" customHeight="true" outlineLevel="0" collapsed="false">
      <c r="A547" s="5" t="s">
        <v>1699</v>
      </c>
      <c r="B547" s="5" t="s">
        <v>1700</v>
      </c>
      <c r="C547" s="5"/>
      <c r="D547" s="5" t="s">
        <v>3</v>
      </c>
      <c r="E547" s="5" t="s">
        <v>484</v>
      </c>
      <c r="F547" s="5"/>
      <c r="G547" s="5" t="s">
        <v>144</v>
      </c>
      <c r="H547" s="5" t="s">
        <v>486</v>
      </c>
      <c r="I547" s="5" t="s">
        <v>487</v>
      </c>
      <c r="J547" s="6" t="n">
        <v>0</v>
      </c>
      <c r="K547" s="5" t="s">
        <v>63</v>
      </c>
      <c r="L547" s="5" t="n">
        <f aca="false">IF($K547="",0,LEN($K547)-LEN(SUBSTITUTE($K547,",",""))+1)</f>
        <v>2</v>
      </c>
      <c r="M547" s="5" t="s">
        <v>44</v>
      </c>
      <c r="N547" s="5" t="str">
        <f aca="false">TRIM($A547&amp;" "&amp;IF($C547="",$R547,$C547&amp;" "&amp;$D547&amp;" "&amp;$E547&amp;" "&amp;$F547))</f>
        <v>FIFO Adjustment</v>
      </c>
      <c r="O547" s="5" t="str">
        <f aca="false">IF($P547&lt;&gt;"","Exclude",IF(AND($M547&lt;&gt;"Full address",$R547=""),"Needs address",IF($J547&lt;0.5,"Hold - low volume",IF(LEFT($W547,3)="Low","Verify address",IF($G547="Needs review","Needs premise review",IF($X547="Estimated","Ready - address estimated","Ready"))))))</f>
        <v>Exclude</v>
      </c>
      <c r="P547" s="5" t="s">
        <v>1540</v>
      </c>
      <c r="Q547" s="5" t="s">
        <v>488</v>
      </c>
      <c r="R547" s="5"/>
      <c r="S547" s="5"/>
      <c r="T547" s="7"/>
      <c r="U547" s="7"/>
      <c r="V547" s="5"/>
      <c r="W547" s="5"/>
      <c r="X547" s="5" t="s">
        <v>3</v>
      </c>
      <c r="Y547" s="8" t="str">
        <f aca="false">IF($C547&lt;&gt;"",TRIM($C547&amp;", "&amp;$D547&amp;", "&amp;$E547&amp;" "&amp;$F547),IF($R547&lt;&gt;"",$R547,IF($D547&lt;&gt;"",$D547&amp;", "&amp;$E547,$I547)))</f>
        <v>City, KS</v>
      </c>
    </row>
    <row r="548" customFormat="false" ht="15" hidden="false" customHeight="true" outlineLevel="0" collapsed="false">
      <c r="A548" s="5" t="s">
        <v>1701</v>
      </c>
      <c r="B548" s="5" t="s">
        <v>1702</v>
      </c>
      <c r="C548" s="5" t="s">
        <v>1703</v>
      </c>
      <c r="D548" s="5" t="s">
        <v>1704</v>
      </c>
      <c r="E548" s="5" t="s">
        <v>493</v>
      </c>
      <c r="F548" s="5" t="s">
        <v>1705</v>
      </c>
      <c r="G548" s="5" t="s">
        <v>31</v>
      </c>
      <c r="H548" s="5" t="s">
        <v>495</v>
      </c>
      <c r="I548" s="5" t="s">
        <v>496</v>
      </c>
      <c r="J548" s="6" t="n">
        <v>0</v>
      </c>
      <c r="K548" s="5" t="s">
        <v>87</v>
      </c>
      <c r="L548" s="5" t="n">
        <f aca="false">IF($K548="",0,LEN($K548)-LEN(SUBSTITUTE($K548,",",""))+1)</f>
        <v>5</v>
      </c>
      <c r="M548" s="5" t="s">
        <v>35</v>
      </c>
      <c r="N548" s="5" t="str">
        <f aca="false">TRIM($A548&amp;" "&amp;IF($C548="",$R548,$C548&amp;" "&amp;$D548&amp;" "&amp;$E548&amp;" "&amp;$F548))</f>
        <v>Abiys International Wine 3702 W. Truman Blvd. Jefferson City MO 65109</v>
      </c>
      <c r="O548" s="5" t="str">
        <f aca="false">IF($P548&lt;&gt;"","Exclude",IF(AND($M548&lt;&gt;"Full address",$R548=""),"Needs address",IF($J548&lt;0.5,"Hold - low volume",IF(LEFT($W548,3)="Low","Verify address",IF($G548="Needs review","Needs premise review",IF($X548="Estimated","Ready - address estimated","Ready"))))))</f>
        <v>Exclude</v>
      </c>
      <c r="P548" s="5" t="s">
        <v>1666</v>
      </c>
      <c r="Q548" s="5" t="s">
        <v>498</v>
      </c>
      <c r="R548" s="5"/>
      <c r="S548" s="5"/>
      <c r="T548" s="7"/>
      <c r="U548" s="7"/>
      <c r="V548" s="5"/>
      <c r="W548" s="5"/>
      <c r="X548" s="5" t="s">
        <v>37</v>
      </c>
      <c r="Y548" s="8" t="str">
        <f aca="false">IF($C548&lt;&gt;"",TRIM($C548&amp;", "&amp;$D548&amp;", "&amp;$E548&amp;" "&amp;$F548),IF($R548&lt;&gt;"",$R548,IF($D548&lt;&gt;"",$D548&amp;", "&amp;$E548,$I548)))</f>
        <v>3702 W. Truman Blvd., Jefferson City, MO 65109</v>
      </c>
    </row>
    <row r="549" customFormat="false" ht="15" hidden="false" customHeight="true" outlineLevel="0" collapsed="false">
      <c r="A549" s="5" t="s">
        <v>1706</v>
      </c>
      <c r="B549" s="5" t="s">
        <v>1707</v>
      </c>
      <c r="C549" s="5" t="s">
        <v>1708</v>
      </c>
      <c r="D549" s="5" t="s">
        <v>492</v>
      </c>
      <c r="E549" s="5" t="s">
        <v>493</v>
      </c>
      <c r="F549" s="5" t="s">
        <v>1709</v>
      </c>
      <c r="G549" s="5" t="s">
        <v>31</v>
      </c>
      <c r="H549" s="5" t="s">
        <v>495</v>
      </c>
      <c r="I549" s="5" t="s">
        <v>496</v>
      </c>
      <c r="J549" s="6" t="n">
        <v>0</v>
      </c>
      <c r="K549" s="5" t="s">
        <v>220</v>
      </c>
      <c r="L549" s="5" t="n">
        <f aca="false">IF($K549="",0,LEN($K549)-LEN(SUBSTITUTE($K549,",",""))+1)</f>
        <v>2</v>
      </c>
      <c r="M549" s="5" t="s">
        <v>35</v>
      </c>
      <c r="N549" s="5" t="str">
        <f aca="false">TRIM($A549&amp;" "&amp;IF($C549="",$R549,$C549&amp;" "&amp;$D549&amp;" "&amp;$E549&amp;" "&amp;$F549))</f>
        <v>Miniature Market - Rock Hill 9755 Manchester Rd St. Louis MO 63119</v>
      </c>
      <c r="O549" s="5" t="str">
        <f aca="false">IF($P549&lt;&gt;"","Exclude",IF(AND($M549&lt;&gt;"Full address",$R549=""),"Needs address",IF($J549&lt;0.5,"Hold - low volume",IF(LEFT($W549,3)="Low","Verify address",IF($G549="Needs review","Needs premise review",IF($X549="Estimated","Ready - address estimated","Ready"))))))</f>
        <v>Exclude</v>
      </c>
      <c r="P549" s="5" t="s">
        <v>1666</v>
      </c>
      <c r="Q549" s="5" t="s">
        <v>498</v>
      </c>
      <c r="R549" s="5"/>
      <c r="S549" s="5"/>
      <c r="T549" s="7"/>
      <c r="U549" s="7"/>
      <c r="V549" s="5"/>
      <c r="W549" s="5"/>
      <c r="X549" s="5" t="s">
        <v>37</v>
      </c>
      <c r="Y549" s="8" t="str">
        <f aca="false">IF($C549&lt;&gt;"",TRIM($C549&amp;", "&amp;$D549&amp;", "&amp;$E549&amp;" "&amp;$F549),IF($R549&lt;&gt;"",$R549,IF($D549&lt;&gt;"",$D549&amp;", "&amp;$E549,$I549)))</f>
        <v>9755 Manchester Rd, St. Louis, MO 63119</v>
      </c>
    </row>
    <row r="550" customFormat="false" ht="15" hidden="false" customHeight="true" outlineLevel="0" collapsed="false">
      <c r="A550" s="5" t="s">
        <v>1710</v>
      </c>
      <c r="B550" s="5" t="s">
        <v>1710</v>
      </c>
      <c r="C550" s="5"/>
      <c r="D550" s="5"/>
      <c r="E550" s="5" t="s">
        <v>913</v>
      </c>
      <c r="F550" s="5"/>
      <c r="G550" s="5" t="s">
        <v>31</v>
      </c>
      <c r="H550" s="5" t="s">
        <v>914</v>
      </c>
      <c r="I550" s="5" t="s">
        <v>915</v>
      </c>
      <c r="J550" s="6" t="n">
        <v>0</v>
      </c>
      <c r="K550" s="5" t="s">
        <v>426</v>
      </c>
      <c r="L550" s="5" t="n">
        <f aca="false">IF($K550="",0,LEN($K550)-LEN(SUBSTITUTE($K550,",",""))+1)</f>
        <v>1</v>
      </c>
      <c r="M550" s="5" t="s">
        <v>916</v>
      </c>
      <c r="N550" s="5" t="str">
        <f aca="false">TRIM($A550&amp;" "&amp;IF($C550="",$R550,$C550&amp;" "&amp;$D550&amp;" "&amp;$E550&amp;" "&amp;$F550))</f>
        <v>VIC PIERCE LIQUOR</v>
      </c>
      <c r="O550" s="5" t="str">
        <f aca="false">IF($P550&lt;&gt;"","Exclude",IF(AND($M550&lt;&gt;"Full address",$R550=""),"Needs address",IF($J550&lt;0.5,"Hold - low volume",IF(LEFT($W550,3)="Low","Verify address",IF($G550="Needs review","Needs premise review",IF($X550="Estimated","Ready - address estimated","Ready"))))))</f>
        <v>Exclude</v>
      </c>
      <c r="P550" s="5" t="s">
        <v>1666</v>
      </c>
      <c r="Q550" s="5" t="s">
        <v>917</v>
      </c>
      <c r="R550" s="5"/>
      <c r="S550" s="5"/>
      <c r="T550" s="7"/>
      <c r="U550" s="7"/>
      <c r="V550" s="5"/>
      <c r="W550" s="5"/>
      <c r="X550" s="5" t="s">
        <v>8</v>
      </c>
      <c r="Y550" s="8" t="str">
        <f aca="false">IF($C550&lt;&gt;"",TRIM($C550&amp;", "&amp;$D550&amp;", "&amp;$E550&amp;" "&amp;$F550),IF($R550&lt;&gt;"",$R550,IF($D550&lt;&gt;"",$D550&amp;", "&amp;$E550,$I550)))</f>
        <v>Wisconsin</v>
      </c>
    </row>
    <row r="551" customFormat="false" ht="15" hidden="false" customHeight="true" outlineLevel="0" collapsed="false">
      <c r="A551" s="5" t="s">
        <v>1711</v>
      </c>
      <c r="B551" s="5" t="s">
        <v>1712</v>
      </c>
      <c r="C551" s="5" t="s">
        <v>1713</v>
      </c>
      <c r="D551" s="5" t="s">
        <v>1714</v>
      </c>
      <c r="E551" s="5" t="s">
        <v>493</v>
      </c>
      <c r="F551" s="5" t="s">
        <v>1715</v>
      </c>
      <c r="G551" s="5" t="s">
        <v>31</v>
      </c>
      <c r="H551" s="5" t="s">
        <v>495</v>
      </c>
      <c r="I551" s="5" t="s">
        <v>496</v>
      </c>
      <c r="J551" s="6" t="n">
        <v>-0.5</v>
      </c>
      <c r="K551" s="5" t="s">
        <v>426</v>
      </c>
      <c r="L551" s="5" t="n">
        <f aca="false">IF($K551="",0,LEN($K551)-LEN(SUBSTITUTE($K551,",",""))+1)</f>
        <v>1</v>
      </c>
      <c r="M551" s="5" t="s">
        <v>35</v>
      </c>
      <c r="N551" s="5" t="str">
        <f aca="false">TRIM($A551&amp;" "&amp;IF($C551="",$R551,$C551&amp;" "&amp;$D551&amp;" "&amp;$E551&amp;" "&amp;$F551))</f>
        <v>LeGrand's Market and Catering 4414 Donovan Ave St Louis MO 63109</v>
      </c>
      <c r="O551" s="5" t="str">
        <f aca="false">IF($P551&lt;&gt;"","Exclude",IF(AND($M551&lt;&gt;"Full address",$R551=""),"Needs address",IF($J551&lt;0.5,"Hold - low volume",IF(LEFT($W551,3)="Low","Verify address",IF($G551="Needs review","Needs premise review",IF($X551="Estimated","Ready - address estimated","Ready"))))))</f>
        <v>Exclude</v>
      </c>
      <c r="P551" s="5" t="s">
        <v>1666</v>
      </c>
      <c r="Q551" s="5" t="s">
        <v>498</v>
      </c>
      <c r="R551" s="5"/>
      <c r="S551" s="5"/>
      <c r="T551" s="7"/>
      <c r="U551" s="7"/>
      <c r="V551" s="5"/>
      <c r="W551" s="5"/>
      <c r="X551" s="5" t="s">
        <v>37</v>
      </c>
      <c r="Y551" s="8" t="str">
        <f aca="false">IF($C551&lt;&gt;"",TRIM($C551&amp;", "&amp;$D551&amp;", "&amp;$E551&amp;" "&amp;$F551),IF($R551&lt;&gt;"",$R551,IF($D551&lt;&gt;"",$D551&amp;", "&amp;$E551,$I551)))</f>
        <v>4414 Donovan Ave, St Louis, MO 63109</v>
      </c>
    </row>
  </sheetData>
  <autoFilter ref="A1:Y5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2026-08-18T22:09:26Z</dcterms:created>
  <dc:creator>openpyxl</dc:creator>
  <dc:description/>
  <dc:language>en-US</dc:language>
  <cp:lastModifiedBy/>
  <dcterms:modified xsi:type="dcterms:W3CDTF">2026-08-18T22:16:57Z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